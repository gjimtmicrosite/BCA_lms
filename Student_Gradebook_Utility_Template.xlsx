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91d7077d7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979915920654f83"/>
    <x:sheet xmlns:r="http://schemas.openxmlformats.org/officeDocument/2006/relationships" name="Student Records" sheetId="2" r:id="R0918ec8f804842d7"/>
    <x:sheet xmlns:r="http://schemas.openxmlformats.org/officeDocument/2006/relationships" name="Instructions" sheetId="3" r:id="Rbeb2e8680908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%"/>
    <x:numFmt numFmtId="202" formatCode="dd-mmm-yyyy"/>
  </x:numFmts>
  <x:fonts count="14">
    <x:font>
      <x:sz val="11"/>
      <x:name val="Carlito"/>
    </x:font>
    <x:font>
      <x:b/>
      <x:sz val="20"/>
      <x:color rgb="FFFFFF"/>
      <x:name val="Carlito"/>
    </x:font>
    <x:font>
      <x:i/>
      <x:sz val="11"/>
      <x:color rgb="1F2937"/>
      <x:name val="Carlito"/>
    </x:font>
    <x:font>
      <x:b/>
      <x:sz val="12"/>
      <x:color rgb="1F4E78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i/>
      <x:sz val="11"/>
      <x:name val="Carlito"/>
    </x:font>
    <x:font>
      <x:b/>
      <x:sz val="20"/>
      <x:color rgb="FFFFFF"/>
      <x:name val="Aptos"/>
    </x:font>
    <x:font>
      <x:sz val="11"/>
      <x:name val="Aptos"/>
    </x:font>
    <x:font>
      <x:i/>
      <x:sz val="11"/>
      <x:color rgb="1F2937"/>
      <x:name val="Aptos"/>
    </x:font>
    <x:font>
      <x:b/>
      <x:sz val="12"/>
      <x:color rgb="1F4E78"/>
      <x:name val="Aptos"/>
    </x:font>
    <x:font>
      <x:b/>
      <x:sz val="11"/>
      <x:color rgb="FFFFFF"/>
      <x:name val="Aptos"/>
    </x:font>
    <x:font>
      <x:b/>
      <x:sz val="18"/>
      <x:color rgb="FFFFFF"/>
      <x:name val="Aptos"/>
    </x:font>
    <x:font>
      <x:i/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202" fontId="0" fillId="4" borderId="0" xfId="0" applyNumberFormat="1" applyFont="1" applyFill="1" applyBorder="1" applyAlignment="1">
      <x:alignment vertical="center" wrapText="1"/>
    </x:xf>
    <x:xf numFmtId="202" fontId="0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1" fontId="8" fillId="4" borderId="0" xfId="0" applyNumberFormat="1" applyFont="1" applyFill="1" applyBorder="1" applyAlignment="1">
      <x:alignment vertical="center" wrapText="1"/>
    </x:xf>
    <x:xf numFmtId="202" fontId="8" fillId="4" borderId="0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horizontal="center"/>
    </x:xf>
    <x:xf numFmtId="0" fontId="13" fillId="3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200" fontId="8" fillId="4" borderId="1" xfId="0" applyNumberFormat="1" applyFont="1" applyFill="1" applyBorder="1" applyAlignment="1">
      <x:alignment vertical="center" wrapText="1"/>
    </x:xf>
    <x:xf numFmtId="201" fontId="8" fillId="4" borderId="1" xfId="0" applyNumberFormat="1" applyFont="1" applyFill="1" applyBorder="1" applyAlignment="1">
      <x:alignment vertical="center" wrapText="1"/>
    </x:xf>
    <x:xf numFmtId="202" fontId="8" fillId="4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11" fillId="5" borderId="0" xfId="0" applyNumberFormat="1" applyFont="1" applyFill="1" applyBorder="1"/>
    <x:xf numFmtId="0" fontId="8" fillId="5" borderId="1" xfId="0" applyNumberFormat="1" applyFont="1" applyFill="1" applyBorder="1"/>
    <x:xf numFmtId="0" fontId="11" fillId="5" borderId="1" xfId="0" applyNumberFormat="1" applyFont="1" applyFill="1" applyBorder="1"/>
  </x:cellXfs>
  <x:cellStyles count="1">
    <x:cellStyle name="Normal" xfId="0"/>
  </x:cellStyles>
  <x:dxfs count="2">
    <x:dxf>
      <x:font>
        <x:b/>
        <x:color rgb="9C0006"/>
      </x:font>
      <x:fill>
        <x:patternFill patternType="solid">
          <x:bgColor rgb="F4CCCC"/>
        </x:patternFill>
      </x:fill>
    </x:dxf>
    <x:dxf>
      <x:font>
        <x:b/>
        <x:color rgb="006100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d53ee13e2445d" /><Relationship Type="http://schemas.openxmlformats.org/officeDocument/2006/relationships/theme" Target="/xl/theme/theme1.xml" Id="Ra56c4f2b71d74b1e" /><Relationship Type="http://schemas.openxmlformats.org/officeDocument/2006/relationships/sharedStrings" Target="/xl/sharedStrings.xml" Id="Rbbedbe7546394f8a" /><Relationship Type="http://schemas.openxmlformats.org/officeDocument/2006/relationships/worksheet" Target="/xl/worksheets/sheet1.xml" Id="R6979915920654f83" /><Relationship Type="http://schemas.openxmlformats.org/officeDocument/2006/relationships/worksheet" Target="/xl/worksheets/sheet2.xml" Id="R0918ec8f804842d7" /><Relationship Type="http://schemas.openxmlformats.org/officeDocument/2006/relationships/worksheet" Target="/xl/worksheets/sheet3.xml" Id="Rbeb2e86809084f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928b80c1a249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Grade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'Dashboard'!$J$5:$J$10</c:f>
              <c:strCache>
                <c:ptCount val="0"/>
              </c:strCache>
            </c:strRef>
          </c:cat>
          <c:val>
            <c:numRef>
              <c:f>'Dashboard'!$K$5:$K$10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928b80c1a249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entTable" displayName="StudentTable" ref="A4:N54" headerRowCount="1">
  <x:tableColumns count="14">
    <x:tableColumn id="1" name="Roll No"/>
    <x:tableColumn id="2" name="Student Name"/>
    <x:tableColumn id="3" name="Class/Sem"/>
    <x:tableColumn id="4" name="Subject 1"/>
    <x:tableColumn id="5" name="Subject 2"/>
    <x:tableColumn id="6" name="Subject 3"/>
    <x:tableColumn id="7" name="Subject 4"/>
    <x:tableColumn id="8" name="Subject 5"/>
    <x:tableColumn id="9" name="Total Marks"/>
    <x:tableColumn id="10" name="Percentage"/>
    <x:tableColumn id="11" name="Grade"/>
    <x:tableColumn id="12" name="Result"/>
    <x:tableColumn id="13" name="Remarks"/>
    <x:tableColumn id="14" name="Last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ddf74d96974b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201a7d70ec471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6" customHeight="1">
      <x:c r="A1" s="64" t="str">
        <x:v>Student Gradebook Utility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>
      <x:c r="A2" s="66" t="str">
        <x:v>Microsoft-style shadow project template: Add record • View all • Search by roll • Exit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</x:row>
    <x:row r="4">
      <x:c r="A4" s="67" t="str">
        <x:v>Total Students
=COUNTA(StudentTable[Roll No])</x:v>
      </x:c>
      <x:c r="B4" s="65"/>
      <x:c r="C4" s="67" t="str">
        <x:v>Class Average
=IFERROR(AVERAGE(StudentTable[Percentage]),0)</x:v>
      </x:c>
      <x:c r="D4" s="65"/>
      <x:c r="E4" s="67" t="str">
        <x:v>Passed Students
=COUNTIF(StudentTable[Result],"Pass")</x:v>
      </x:c>
      <x:c r="F4" s="65"/>
      <x:c r="G4" s="67" t="str">
        <x:v>Failed Students
=COUNTIF(StudentTable[Result],"Fail")</x:v>
      </x:c>
      <x:c r="H4" s="65"/>
      <x:c r="I4" s="65"/>
      <x:c r="J4" s="97" t="str">
        <x:v>Grade</x:v>
      </x:c>
      <x:c r="K4" s="97" t="str">
        <x:v>Count</x:v>
      </x:c>
      <x:c r="L4" s="65"/>
      <x:c r="M4" s="65"/>
      <x:c r="N4" s="65"/>
    </x:row>
    <x:row r="5">
      <x:c r="A5" s="65"/>
      <x:c r="B5" s="65"/>
      <x:c r="C5" s="65"/>
      <x:c r="D5" s="65"/>
      <x:c r="E5" s="65"/>
      <x:c r="F5" s="65"/>
      <x:c r="G5" s="65"/>
      <x:c r="H5" s="65"/>
      <x:c r="I5" s="65"/>
      <x:c r="J5" s="65" t="str">
        <x:v>A+</x:v>
      </x:c>
      <x:c r="K5" s="65" t="n">
        <x:f>COUNTIF(StudentTable[Grade],"A+")</x:f>
        <x:v>1</x:v>
      </x:c>
      <x:c r="L5" s="65"/>
      <x:c r="M5" s="65"/>
      <x:c r="N5" s="65"/>
    </x:row>
    <x:row r="6">
      <x:c r="A6" s="65"/>
      <x:c r="B6" s="65"/>
      <x:c r="C6" s="65"/>
      <x:c r="D6" s="65"/>
      <x:c r="E6" s="65"/>
      <x:c r="F6" s="65"/>
      <x:c r="G6" s="65"/>
      <x:c r="H6" s="65"/>
      <x:c r="I6" s="65"/>
      <x:c r="J6" s="65" t="str">
        <x:v>A</x:v>
      </x:c>
      <x:c r="K6" s="65" t="n">
        <x:f>COUNTIF(StudentTable[Grade],"A")</x:f>
        <x:v>1</x:v>
      </x:c>
      <x:c r="L6" s="65"/>
      <x:c r="M6" s="65"/>
      <x:c r="N6" s="65"/>
    </x:row>
    <x:row r="7">
      <x:c r="A7" s="65"/>
      <x:c r="B7" s="65"/>
      <x:c r="C7" s="65"/>
      <x:c r="D7" s="65"/>
      <x:c r="E7" s="65"/>
      <x:c r="F7" s="65"/>
      <x:c r="G7" s="65"/>
      <x:c r="H7" s="65"/>
      <x:c r="I7" s="65"/>
      <x:c r="J7" s="65" t="str">
        <x:v>B</x:v>
      </x:c>
      <x:c r="K7" s="65" t="n">
        <x:f>COUNTIF(StudentTable[Grade],"B")</x:f>
        <x:v>0</x:v>
      </x:c>
      <x:c r="L7" s="65"/>
      <x:c r="M7" s="65"/>
      <x:c r="N7" s="65"/>
    </x:row>
    <x:row r="8">
      <x:c r="A8" s="68" t="str">
        <x:v>Search by Roll Number Utility</x:v>
      </x:c>
      <x:c r="B8" s="65" t="str"/>
      <x:c r="C8" s="65" t="str"/>
      <x:c r="D8" s="65" t="str"/>
      <x:c r="E8" s="65" t="str"/>
      <x:c r="F8" s="65" t="str"/>
      <x:c r="G8" s="65" t="str"/>
      <x:c r="H8" s="65" t="str"/>
      <x:c r="I8" s="65"/>
      <x:c r="J8" s="65" t="str">
        <x:v>C</x:v>
      </x:c>
      <x:c r="K8" s="65" t="n">
        <x:f>COUNTIF(StudentTable[Grade],"C")</x:f>
        <x:v>1</x:v>
      </x:c>
      <x:c r="L8" s="65"/>
      <x:c r="M8" s="65"/>
      <x:c r="N8" s="65"/>
    </x:row>
    <x:row r="9">
      <x:c r="A9" s="65" t="str">
        <x:v>Enter Roll No:</x:v>
      </x:c>
      <x:c r="B9" s="65" t="str"/>
      <x:c r="C9" s="65"/>
      <x:c r="D9" s="65"/>
      <x:c r="E9" s="65"/>
      <x:c r="F9" s="65"/>
      <x:c r="G9" s="65"/>
      <x:c r="H9" s="65"/>
      <x:c r="I9" s="65"/>
      <x:c r="J9" s="65" t="str">
        <x:v>D</x:v>
      </x:c>
      <x:c r="K9" s="65" t="n">
        <x:f>COUNTIF(StudentTable[Grade],"D")</x:f>
        <x:v>0</x:v>
      </x:c>
      <x:c r="L9" s="65"/>
      <x:c r="M9" s="65"/>
      <x:c r="N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 t="str">
        <x:v>F</x:v>
      </x:c>
      <x:c r="K10" s="65" t="n">
        <x:f>COUNTIF(StudentTable[Grade],"F")</x:f>
        <x:v>2</x:v>
      </x:c>
      <x:c r="L10" s="65"/>
      <x:c r="M10" s="65"/>
      <x:c r="N10" s="65"/>
    </x:row>
    <x:row r="11">
      <x:c r="A11" s="69" t="str">
        <x:v>Roll No</x:v>
      </x:c>
      <x:c r="B11" s="69" t="str">
        <x:v>Student Name</x:v>
      </x:c>
      <x:c r="C11" s="69" t="str">
        <x:v>Class/Sem</x:v>
      </x:c>
      <x:c r="D11" s="69" t="str">
        <x:v>Percentage</x:v>
      </x:c>
      <x:c r="E11" s="69" t="str">
        <x:v>Grade</x:v>
      </x:c>
      <x:c r="F11" s="69" t="str">
        <x:v>Result</x:v>
      </x:c>
      <x:c r="G11" s="69" t="str">
        <x:v>Remarks</x:v>
      </x:c>
      <x:c r="H11" s="69" t="str">
        <x:v>Last Updated</x:v>
      </x:c>
      <x:c r="I11" s="65"/>
      <x:c r="J11" s="65"/>
      <x:c r="K11" s="65"/>
      <x:c r="L11" s="65"/>
      <x:c r="M11" s="65"/>
      <x:c r="N11" s="65"/>
    </x:row>
    <x:row r="12">
      <x:c r="A12" s="70" t="str">
        <x:f>IFERROR(XLOOKUP($B$9,StudentTable[Roll No],StudentTable[Roll No]),"")</x:f>
      </x:c>
      <x:c r="B12" s="70" t="str">
        <x:f>IFERROR(XLOOKUP($B$9,StudentTable[Roll No],StudentTable[Student Name]),"Not found")</x:f>
        <x:v>Not found</x:v>
      </x:c>
      <x:c r="C12" s="70" t="str">
        <x:f>IFERROR(XLOOKUP($B$9,StudentTable[Roll No],StudentTable[Class/Sem]),"")</x:f>
      </x:c>
      <x:c r="D12" s="70" t="str">
        <x:f>IFERROR(XLOOKUP($B$9,StudentTable[Roll No],StudentTable[Percentage]),"")</x:f>
      </x:c>
      <x:c r="E12" s="70" t="str">
        <x:f>IFERROR(XLOOKUP($B$9,StudentTable[Roll No],StudentTable[Grade]),"")</x:f>
      </x:c>
      <x:c r="F12" s="70" t="str">
        <x:f>IFERROR(XLOOKUP($B$9,StudentTable[Roll No],StudentTable[Result]),"")</x:f>
      </x:c>
      <x:c r="G12" s="70" t="str">
        <x:f>IFERROR(XLOOKUP($B$9,StudentTable[Roll No],StudentTable[Remarks]),"")</x:f>
      </x:c>
      <x:c r="H12" s="70" t="str">
        <x:f>IFERROR(XLOOKUP($B$9,StudentTable[Roll No],StudentTable[Last Updated]),"")</x:f>
      </x:c>
      <x:c r="I12" s="65"/>
      <x:c r="J12" s="65"/>
      <x:c r="K12" s="65"/>
      <x:c r="L12" s="65"/>
      <x:c r="M12" s="65"/>
      <x:c r="N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</x:row>
    <x:row r="15">
      <x:c r="A15" s="68" t="str">
        <x:v>Menu Flow for Utility Program</x:v>
      </x:c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</x:row>
    <x:row r="16">
      <x:c r="A16" s="69" t="str">
        <x:v>Option</x:v>
      </x:c>
      <x:c r="B16" s="69" t="str">
        <x:v>Menu Action</x:v>
      </x:c>
      <x:c r="C16" s="69" t="str">
        <x:v>Purpose</x:v>
      </x:c>
      <x:c r="D16" s="69" t="str">
        <x:v>Usability Standard</x:v>
      </x:c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</x:row>
    <x:row r="17">
      <x:c r="A17" s="71" t="str">
        <x:v>1</x:v>
      </x:c>
      <x:c r="B17" s="71" t="str">
        <x:v>Add Record</x:v>
      </x:c>
      <x:c r="C17" s="71" t="str">
        <x:v>Enter a new student record with validation</x:v>
      </x:c>
      <x:c r="D17" s="71" t="str">
        <x:v>Clear prompts and helpful error messages</x:v>
      </x:c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</x:row>
    <x:row r="18">
      <x:c r="A18" s="71" t="str">
        <x:v>2</x:v>
      </x:c>
      <x:c r="B18" s="71" t="str">
        <x:v>View All</x:v>
      </x:c>
      <x:c r="C18" s="71" t="str">
        <x:v>Display all saved student records</x:v>
      </x:c>
      <x:c r="D18" s="71" t="str">
        <x:v>Neat tabular output and summaries</x:v>
      </x:c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</x:row>
    <x:row r="19">
      <x:c r="A19" s="71" t="str">
        <x:v>3</x:v>
      </x:c>
      <x:c r="B19" s="71" t="str">
        <x:v>Search by Roll</x:v>
      </x:c>
      <x:c r="C19" s="71" t="str">
        <x:v>Find one student using roll number</x:v>
      </x:c>
      <x:c r="D19" s="71" t="str">
        <x:v>Fast lookup and friendly not-found message</x:v>
      </x:c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</x:row>
    <x:row r="20">
      <x:c r="A20" s="71" t="str">
        <x:v>4</x:v>
      </x:c>
      <x:c r="B20" s="71" t="str">
        <x:v>Exit</x:v>
      </x:c>
      <x:c r="C20" s="71" t="str">
        <x:v>Close program safely</x:v>
      </x:c>
      <x:c r="D20" s="71" t="str">
        <x:v>Thank-you message and clean exit</x:v>
      </x:c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</x:row>
  </x:sheetData>
  <x:mergeCells>
    <x:mergeCell ref="A1:H1"/>
    <x:mergeCell ref="A2:H2"/>
    <x:mergeCell ref="A4:B6"/>
    <x:mergeCell ref="C4:D6"/>
    <x:mergeCell ref="E4:F6"/>
    <x:mergeCell ref="G4:H6"/>
    <x:mergeCell ref="A8:H8"/>
    <x:mergeCell ref="A15:H15"/>
  </x:mergeCells>
  <x:pageMargins left="0.7" right="0.7" top="0.75" bottom="0.75" header="0.3" footer="0.3"/>
  <x:drawing xmlns:r="http://schemas.openxmlformats.org/officeDocument/2006/relationships" r:id="R9addf74d96974b72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28" hidden="0" customWidth="1"/>
    <x:col min="14" max="14" width="14" hidden="0" customWidth="1"/>
  </x:cols>
  <x:sheetData>
    <x:row r="1" ht="32" customHeight="1">
      <x:c r="A1" s="80" t="str">
        <x:v>Student Records Entry Table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>
      <x:c r="A2" s="81" t="str">
        <x:v>Enter student marks only in editable columns. Percentage, Grade, Result, and Remarks calculate automatically.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</x:row>
    <x:row r="4">
      <x:c r="A4" s="82" t="str">
        <x:v>Roll No</x:v>
      </x:c>
      <x:c r="B4" s="82" t="str">
        <x:v>Student Name</x:v>
      </x:c>
      <x:c r="C4" s="82" t="str">
        <x:v>Class/Sem</x:v>
      </x:c>
      <x:c r="D4" s="82" t="str">
        <x:v>Subject 1</x:v>
      </x:c>
      <x:c r="E4" s="82" t="str">
        <x:v>Subject 2</x:v>
      </x:c>
      <x:c r="F4" s="82" t="str">
        <x:v>Subject 3</x:v>
      </x:c>
      <x:c r="G4" s="82" t="str">
        <x:v>Subject 4</x:v>
      </x:c>
      <x:c r="H4" s="82" t="str">
        <x:v>Subject 5</x:v>
      </x:c>
      <x:c r="I4" s="82" t="str">
        <x:v>Total Marks</x:v>
      </x:c>
      <x:c r="J4" s="82" t="str">
        <x:v>Percentage</x:v>
      </x:c>
      <x:c r="K4" s="82" t="str">
        <x:v>Grade</x:v>
      </x:c>
      <x:c r="L4" s="82" t="str">
        <x:v>Result</x:v>
      </x:c>
      <x:c r="M4" s="82" t="str">
        <x:v>Remarks</x:v>
      </x:c>
      <x:c r="N4" s="82" t="str">
        <x:v>Last Updated</x:v>
      </x:c>
    </x:row>
    <x:row r="5">
      <x:c r="A5" s="83" t="n">
        <x:v>101</x:v>
      </x:c>
      <x:c r="B5" s="83" t="str">
        <x:v>Amanpreet Kaur</x:v>
      </x:c>
      <x:c r="C5" s="83" t="str">
        <x:v>BCA-1</x:v>
      </x:c>
      <x:c r="D5" s="84" t="n">
        <x:v>78</x:v>
      </x:c>
      <x:c r="E5" s="84" t="n">
        <x:v>82</x:v>
      </x:c>
      <x:c r="F5" s="84" t="n">
        <x:v>74</x:v>
      </x:c>
      <x:c r="G5" s="84" t="n">
        <x:v>88</x:v>
      </x:c>
      <x:c r="H5" s="84" t="n">
        <x:v>91</x:v>
      </x:c>
      <x:c r="I5" s="84" t="n">
        <x:f>IF(COUNTA(D5:H5)=0,"",SUM(D5:H5))</x:f>
        <x:v>413</x:v>
      </x:c>
      <x:c r="J5" s="85" t="n">
        <x:f>IF(I5="","",I5/500*100)</x:f>
        <x:v>82.6</x:v>
      </x:c>
      <x:c r="K5" s="83" t="str">
        <x:f>IF(J5="","",IF(J5&gt;=90,"A+",IF(J5&gt;=80,"A",IF(J5&gt;=70,"B",IF(J5&gt;=60,"C",IF(J5&gt;=50,"D","F"))))))</x:f>
        <x:v>A</x:v>
      </x:c>
      <x:c r="L5" s="83" t="str">
        <x:f>IF(J5="","",IF(J5&gt;=40,"Pass","Fail"))</x:f>
        <x:v>Pass</x:v>
      </x:c>
      <x:c r="M5" s="83" t="str">
        <x:f>IF(J5="","",IF(J5&gt;=90,"Outstanding",IF(J5&gt;=75,"Very Good",IF(J5&gt;=60,"Good",IF(J5&gt;=40,"Needs Improvement","Reappear / Remedial Support")))))</x:f>
        <x:v>Very Good</x:v>
      </x:c>
      <x:c r="N5" s="86" t="n">
        <x:v>46169</x:v>
      </x:c>
    </x:row>
    <x:row r="6">
      <x:c r="A6" s="83" t="n">
        <x:v>102</x:v>
      </x:c>
      <x:c r="B6" s="83" t="str">
        <x:v>Rohit Sharma</x:v>
      </x:c>
      <x:c r="C6" s="83" t="str">
        <x:v>BCA-1</x:v>
      </x:c>
      <x:c r="D6" s="84" t="n">
        <x:v>62</x:v>
      </x:c>
      <x:c r="E6" s="84" t="n">
        <x:v>58</x:v>
      </x:c>
      <x:c r="F6" s="84" t="n">
        <x:v>67</x:v>
      </x:c>
      <x:c r="G6" s="84" t="n">
        <x:v>71</x:v>
      </x:c>
      <x:c r="H6" s="84" t="n">
        <x:v>64</x:v>
      </x:c>
      <x:c r="I6" s="84" t="n">
        <x:f>IF(COUNTA(D6:H6)=0,"",SUM(D6:H6))</x:f>
        <x:v>322</x:v>
      </x:c>
      <x:c r="J6" s="85" t="n">
        <x:f>IF(I6="","",I6/500*100)</x:f>
        <x:v>64.4</x:v>
      </x:c>
      <x:c r="K6" s="83" t="str">
        <x:f>IF(J6="","",IF(J6&gt;=90,"A+",IF(J6&gt;=80,"A",IF(J6&gt;=70,"B",IF(J6&gt;=60,"C",IF(J6&gt;=50,"D","F"))))))</x:f>
        <x:v>C</x:v>
      </x:c>
      <x:c r="L6" s="83" t="str">
        <x:f>IF(J6="","",IF(J6&gt;=40,"Pass","Fail"))</x:f>
        <x:v>Pass</x:v>
      </x:c>
      <x:c r="M6" s="83" t="str">
        <x:f>IF(J6="","",IF(J6&gt;=90,"Outstanding",IF(J6&gt;=75,"Very Good",IF(J6&gt;=60,"Good",IF(J6&gt;=40,"Needs Improvement","Reappear / Remedial Support")))))</x:f>
        <x:v>Good</x:v>
      </x:c>
      <x:c r="N6" s="86" t="n">
        <x:v>46169</x:v>
      </x:c>
    </x:row>
    <x:row r="7">
      <x:c r="A7" s="83" t="n">
        <x:v>103</x:v>
      </x:c>
      <x:c r="B7" s="83" t="str">
        <x:v>Simran Gill</x:v>
      </x:c>
      <x:c r="C7" s="83" t="str">
        <x:v>BCA-1</x:v>
      </x:c>
      <x:c r="D7" s="84" t="n">
        <x:v>92</x:v>
      </x:c>
      <x:c r="E7" s="84" t="n">
        <x:v>88</x:v>
      </x:c>
      <x:c r="F7" s="84" t="n">
        <x:v>95</x:v>
      </x:c>
      <x:c r="G7" s="84" t="n">
        <x:v>90</x:v>
      </x:c>
      <x:c r="H7" s="84" t="n">
        <x:v>94</x:v>
      </x:c>
      <x:c r="I7" s="84" t="n">
        <x:f>IF(COUNTA(D7:H7)=0,"",SUM(D7:H7))</x:f>
        <x:v>459</x:v>
      </x:c>
      <x:c r="J7" s="85" t="n">
        <x:f>IF(I7="","",I7/500*100)</x:f>
        <x:v>91.8</x:v>
      </x:c>
      <x:c r="K7" s="83" t="str">
        <x:f>IF(J7="","",IF(J7&gt;=90,"A+",IF(J7&gt;=80,"A",IF(J7&gt;=70,"B",IF(J7&gt;=60,"C",IF(J7&gt;=50,"D","F"))))))</x:f>
        <x:v>A+</x:v>
      </x:c>
      <x:c r="L7" s="83" t="str">
        <x:f>IF(J7="","",IF(J7&gt;=40,"Pass","Fail"))</x:f>
        <x:v>Pass</x:v>
      </x:c>
      <x:c r="M7" s="83" t="str">
        <x:f>IF(J7="","",IF(J7&gt;=90,"Outstanding",IF(J7&gt;=75,"Very Good",IF(J7&gt;=60,"Good",IF(J7&gt;=40,"Needs Improvement","Reappear / Remedial Support")))))</x:f>
        <x:v>Outstanding</x:v>
      </x:c>
      <x:c r="N7" s="86" t="n">
        <x:v>46169</x:v>
      </x:c>
    </x:row>
    <x:row r="8">
      <x:c r="A8" s="83" t="n">
        <x:v>104</x:v>
      </x:c>
      <x:c r="B8" s="83" t="str">
        <x:v>Karan Singh</x:v>
      </x:c>
      <x:c r="C8" s="83" t="str">
        <x:v>BCA-1</x:v>
      </x:c>
      <x:c r="D8" s="84" t="n">
        <x:v>45</x:v>
      </x:c>
      <x:c r="E8" s="84" t="n">
        <x:v>39</x:v>
      </x:c>
      <x:c r="F8" s="84" t="n">
        <x:v>51</x:v>
      </x:c>
      <x:c r="G8" s="84" t="n">
        <x:v>48</x:v>
      </x:c>
      <x:c r="H8" s="84" t="n">
        <x:v>55</x:v>
      </x:c>
      <x:c r="I8" s="84" t="n">
        <x:f>IF(COUNTA(D8:H8)=0,"",SUM(D8:H8))</x:f>
        <x:v>238</x:v>
      </x:c>
      <x:c r="J8" s="85" t="n">
        <x:f>IF(I8="","",I8/500*100)</x:f>
        <x:v>47.599999999999994</x:v>
      </x:c>
      <x:c r="K8" s="83" t="str">
        <x:f>IF(J8="","",IF(J8&gt;=90,"A+",IF(J8&gt;=80,"A",IF(J8&gt;=70,"B",IF(J8&gt;=60,"C",IF(J8&gt;=50,"D","F"))))))</x:f>
        <x:v>F</x:v>
      </x:c>
      <x:c r="L8" s="83" t="str">
        <x:f>IF(J8="","",IF(J8&gt;=40,"Pass","Fail"))</x:f>
        <x:v>Pass</x:v>
      </x:c>
      <x:c r="M8" s="83" t="str">
        <x:f>IF(J8="","",IF(J8&gt;=90,"Outstanding",IF(J8&gt;=75,"Very Good",IF(J8&gt;=60,"Good",IF(J8&gt;=40,"Needs Improvement","Reappear / Remedial Support")))))</x:f>
        <x:v>Needs Improvement</x:v>
      </x:c>
      <x:c r="N8" s="86" t="n">
        <x:v>46169</x:v>
      </x:c>
    </x:row>
    <x:row r="9">
      <x:c r="A9" s="83" t="n">
        <x:v>105</x:v>
      </x:c>
      <x:c r="B9" s="83" t="str">
        <x:v>Neha Verma</x:v>
      </x:c>
      <x:c r="C9" s="83" t="str">
        <x:v>BCA-1</x:v>
      </x:c>
      <x:c r="D9" s="84" t="n">
        <x:v>33</x:v>
      </x:c>
      <x:c r="E9" s="84" t="n">
        <x:v>42</x:v>
      </x:c>
      <x:c r="F9" s="84" t="n">
        <x:v>38</x:v>
      </x:c>
      <x:c r="G9" s="84" t="n">
        <x:v>36</x:v>
      </x:c>
      <x:c r="H9" s="84" t="n">
        <x:v>40</x:v>
      </x:c>
      <x:c r="I9" s="84" t="n">
        <x:f>IF(COUNTA(D9:H9)=0,"",SUM(D9:H9))</x:f>
        <x:v>189</x:v>
      </x:c>
      <x:c r="J9" s="85" t="n">
        <x:f>IF(I9="","",I9/500*100)</x:f>
        <x:v>37.8</x:v>
      </x:c>
      <x:c r="K9" s="83" t="str">
        <x:f>IF(J9="","",IF(J9&gt;=90,"A+",IF(J9&gt;=80,"A",IF(J9&gt;=70,"B",IF(J9&gt;=60,"C",IF(J9&gt;=50,"D","F"))))))</x:f>
        <x:v>F</x:v>
      </x:c>
      <x:c r="L9" s="83" t="str">
        <x:f>IF(J9="","",IF(J9&gt;=40,"Pass","Fail"))</x:f>
        <x:v>Fail</x:v>
      </x:c>
      <x:c r="M9" s="83" t="str">
        <x:f>IF(J9="","",IF(J9&gt;=90,"Outstanding",IF(J9&gt;=75,"Very Good",IF(J9&gt;=60,"Good",IF(J9&gt;=40,"Needs Improvement","Reappear / Remedial Support")))))</x:f>
        <x:v>Reappear / Remedial Support</x:v>
      </x:c>
      <x:c r="N9" s="86" t="n">
        <x:v>46169</x:v>
      </x:c>
    </x:row>
    <x:row r="10">
      <x:c r="A10" s="83"/>
      <x:c r="B10" s="83"/>
      <x:c r="C10" s="83"/>
      <x:c r="D10" s="84"/>
      <x:c r="E10" s="84"/>
      <x:c r="F10" s="84"/>
      <x:c r="G10" s="84"/>
      <x:c r="H10" s="84"/>
      <x:c r="I10" s="84" t="str">
        <x:f>IF(COUNTA(D10:H10)=0,"",SUM(D10:H10))</x:f>
      </x:c>
      <x:c r="J10" s="85" t="str">
        <x:f>IF(I10="","",I10/500*100)</x:f>
      </x:c>
      <x:c r="K10" s="83" t="str">
        <x:f>IF(J10="","",IF(J10&gt;=90,"A+",IF(J10&gt;=80,"A",IF(J10&gt;=70,"B",IF(J10&gt;=60,"C",IF(J10&gt;=50,"D","F"))))))</x:f>
      </x:c>
      <x:c r="L10" s="83" t="str">
        <x:f>IF(J10="","",IF(J10&gt;=40,"Pass","Fail"))</x:f>
      </x:c>
      <x:c r="M10" s="83" t="str">
        <x:f>IF(J10="","",IF(J10&gt;=90,"Outstanding",IF(J10&gt;=75,"Very Good",IF(J10&gt;=60,"Good",IF(J10&gt;=40,"Needs Improvement","Reappear / Remedial Support")))))</x:f>
      </x:c>
      <x:c r="N10" s="86"/>
    </x:row>
    <x:row r="11">
      <x:c r="A11" s="83"/>
      <x:c r="B11" s="83"/>
      <x:c r="C11" s="83"/>
      <x:c r="D11" s="84"/>
      <x:c r="E11" s="84"/>
      <x:c r="F11" s="84"/>
      <x:c r="G11" s="84"/>
      <x:c r="H11" s="84"/>
      <x:c r="I11" s="84" t="str">
        <x:f>IF(COUNTA(D11:H11)=0,"",SUM(D11:H11))</x:f>
      </x:c>
      <x:c r="J11" s="85" t="str">
        <x:f>IF(I11="","",I11/500*100)</x:f>
      </x:c>
      <x:c r="K11" s="83" t="str">
        <x:f>IF(J11="","",IF(J11&gt;=90,"A+",IF(J11&gt;=80,"A",IF(J11&gt;=70,"B",IF(J11&gt;=60,"C",IF(J11&gt;=50,"D","F"))))))</x:f>
      </x:c>
      <x:c r="L11" s="83" t="str">
        <x:f>IF(J11="","",IF(J11&gt;=40,"Pass","Fail"))</x:f>
      </x:c>
      <x:c r="M11" s="83" t="str">
        <x:f>IF(J11="","",IF(J11&gt;=90,"Outstanding",IF(J11&gt;=75,"Very Good",IF(J11&gt;=60,"Good",IF(J11&gt;=40,"Needs Improvement","Reappear / Remedial Support")))))</x:f>
      </x:c>
      <x:c r="N11" s="86"/>
    </x:row>
    <x:row r="12">
      <x:c r="A12" s="83"/>
      <x:c r="B12" s="83"/>
      <x:c r="C12" s="83"/>
      <x:c r="D12" s="84"/>
      <x:c r="E12" s="84"/>
      <x:c r="F12" s="84"/>
      <x:c r="G12" s="84"/>
      <x:c r="H12" s="84"/>
      <x:c r="I12" s="84" t="str">
        <x:f>IF(COUNTA(D12:H12)=0,"",SUM(D12:H12))</x:f>
      </x:c>
      <x:c r="J12" s="85" t="str">
        <x:f>IF(I12="","",I12/500*100)</x:f>
      </x:c>
      <x:c r="K12" s="83" t="str">
        <x:f>IF(J12="","",IF(J12&gt;=90,"A+",IF(J12&gt;=80,"A",IF(J12&gt;=70,"B",IF(J12&gt;=60,"C",IF(J12&gt;=50,"D","F"))))))</x:f>
      </x:c>
      <x:c r="L12" s="83" t="str">
        <x:f>IF(J12="","",IF(J12&gt;=40,"Pass","Fail"))</x:f>
      </x:c>
      <x:c r="M12" s="83" t="str">
        <x:f>IF(J12="","",IF(J12&gt;=90,"Outstanding",IF(J12&gt;=75,"Very Good",IF(J12&gt;=60,"Good",IF(J12&gt;=40,"Needs Improvement","Reappear / Remedial Support")))))</x:f>
      </x:c>
      <x:c r="N12" s="86"/>
    </x:row>
    <x:row r="13">
      <x:c r="A13" s="83"/>
      <x:c r="B13" s="83"/>
      <x:c r="C13" s="83"/>
      <x:c r="D13" s="84"/>
      <x:c r="E13" s="84"/>
      <x:c r="F13" s="84"/>
      <x:c r="G13" s="84"/>
      <x:c r="H13" s="84"/>
      <x:c r="I13" s="84" t="str">
        <x:f>IF(COUNTA(D13:H13)=0,"",SUM(D13:H13))</x:f>
      </x:c>
      <x:c r="J13" s="85" t="str">
        <x:f>IF(I13="","",I13/500*100)</x:f>
      </x:c>
      <x:c r="K13" s="83" t="str">
        <x:f>IF(J13="","",IF(J13&gt;=90,"A+",IF(J13&gt;=80,"A",IF(J13&gt;=70,"B",IF(J13&gt;=60,"C",IF(J13&gt;=50,"D","F"))))))</x:f>
      </x:c>
      <x:c r="L13" s="83" t="str">
        <x:f>IF(J13="","",IF(J13&gt;=40,"Pass","Fail"))</x:f>
      </x:c>
      <x:c r="M13" s="83" t="str">
        <x:f>IF(J13="","",IF(J13&gt;=90,"Outstanding",IF(J13&gt;=75,"Very Good",IF(J13&gt;=60,"Good",IF(J13&gt;=40,"Needs Improvement","Reappear / Remedial Support")))))</x:f>
      </x:c>
      <x:c r="N13" s="86"/>
    </x:row>
    <x:row r="14">
      <x:c r="A14" s="83"/>
      <x:c r="B14" s="83"/>
      <x:c r="C14" s="83"/>
      <x:c r="D14" s="84"/>
      <x:c r="E14" s="84"/>
      <x:c r="F14" s="84"/>
      <x:c r="G14" s="84"/>
      <x:c r="H14" s="84"/>
      <x:c r="I14" s="84" t="str">
        <x:f>IF(COUNTA(D14:H14)=0,"",SUM(D14:H14))</x:f>
      </x:c>
      <x:c r="J14" s="85" t="str">
        <x:f>IF(I14="","",I14/500*100)</x:f>
      </x:c>
      <x:c r="K14" s="83" t="str">
        <x:f>IF(J14="","",IF(J14&gt;=90,"A+",IF(J14&gt;=80,"A",IF(J14&gt;=70,"B",IF(J14&gt;=60,"C",IF(J14&gt;=50,"D","F"))))))</x:f>
      </x:c>
      <x:c r="L14" s="83" t="str">
        <x:f>IF(J14="","",IF(J14&gt;=40,"Pass","Fail"))</x:f>
      </x:c>
      <x:c r="M14" s="83" t="str">
        <x:f>IF(J14="","",IF(J14&gt;=90,"Outstanding",IF(J14&gt;=75,"Very Good",IF(J14&gt;=60,"Good",IF(J14&gt;=40,"Needs Improvement","Reappear / Remedial Support")))))</x:f>
      </x:c>
      <x:c r="N14" s="86"/>
    </x:row>
    <x:row r="15">
      <x:c r="A15" s="83"/>
      <x:c r="B15" s="83"/>
      <x:c r="C15" s="83"/>
      <x:c r="D15" s="84"/>
      <x:c r="E15" s="84"/>
      <x:c r="F15" s="84"/>
      <x:c r="G15" s="84"/>
      <x:c r="H15" s="84"/>
      <x:c r="I15" s="84" t="str">
        <x:f>IF(COUNTA(D15:H15)=0,"",SUM(D15:H15))</x:f>
      </x:c>
      <x:c r="J15" s="85" t="str">
        <x:f>IF(I15="","",I15/500*100)</x:f>
      </x:c>
      <x:c r="K15" s="83" t="str">
        <x:f>IF(J15="","",IF(J15&gt;=90,"A+",IF(J15&gt;=80,"A",IF(J15&gt;=70,"B",IF(J15&gt;=60,"C",IF(J15&gt;=50,"D","F"))))))</x:f>
      </x:c>
      <x:c r="L15" s="83" t="str">
        <x:f>IF(J15="","",IF(J15&gt;=40,"Pass","Fail"))</x:f>
      </x:c>
      <x:c r="M15" s="83" t="str">
        <x:f>IF(J15="","",IF(J15&gt;=90,"Outstanding",IF(J15&gt;=75,"Very Good",IF(J15&gt;=60,"Good",IF(J15&gt;=40,"Needs Improvement","Reappear / Remedial Support")))))</x:f>
      </x:c>
      <x:c r="N15" s="86"/>
    </x:row>
    <x:row r="16">
      <x:c r="A16" s="83"/>
      <x:c r="B16" s="83"/>
      <x:c r="C16" s="83"/>
      <x:c r="D16" s="84"/>
      <x:c r="E16" s="84"/>
      <x:c r="F16" s="84"/>
      <x:c r="G16" s="84"/>
      <x:c r="H16" s="84"/>
      <x:c r="I16" s="84" t="str">
        <x:f>IF(COUNTA(D16:H16)=0,"",SUM(D16:H16))</x:f>
      </x:c>
      <x:c r="J16" s="85" t="str">
        <x:f>IF(I16="","",I16/500*100)</x:f>
      </x:c>
      <x:c r="K16" s="83" t="str">
        <x:f>IF(J16="","",IF(J16&gt;=90,"A+",IF(J16&gt;=80,"A",IF(J16&gt;=70,"B",IF(J16&gt;=60,"C",IF(J16&gt;=50,"D","F"))))))</x:f>
      </x:c>
      <x:c r="L16" s="83" t="str">
        <x:f>IF(J16="","",IF(J16&gt;=40,"Pass","Fail"))</x:f>
      </x:c>
      <x:c r="M16" s="83" t="str">
        <x:f>IF(J16="","",IF(J16&gt;=90,"Outstanding",IF(J16&gt;=75,"Very Good",IF(J16&gt;=60,"Good",IF(J16&gt;=40,"Needs Improvement","Reappear / Remedial Support")))))</x:f>
      </x:c>
      <x:c r="N16" s="86"/>
    </x:row>
    <x:row r="17">
      <x:c r="A17" s="83"/>
      <x:c r="B17" s="83"/>
      <x:c r="C17" s="83"/>
      <x:c r="D17" s="84"/>
      <x:c r="E17" s="84"/>
      <x:c r="F17" s="84"/>
      <x:c r="G17" s="84"/>
      <x:c r="H17" s="84"/>
      <x:c r="I17" s="84" t="str">
        <x:f>IF(COUNTA(D17:H17)=0,"",SUM(D17:H17))</x:f>
      </x:c>
      <x:c r="J17" s="85" t="str">
        <x:f>IF(I17="","",I17/500*100)</x:f>
      </x:c>
      <x:c r="K17" s="83" t="str">
        <x:f>IF(J17="","",IF(J17&gt;=90,"A+",IF(J17&gt;=80,"A",IF(J17&gt;=70,"B",IF(J17&gt;=60,"C",IF(J17&gt;=50,"D","F"))))))</x:f>
      </x:c>
      <x:c r="L17" s="83" t="str">
        <x:f>IF(J17="","",IF(J17&gt;=40,"Pass","Fail"))</x:f>
      </x:c>
      <x:c r="M17" s="83" t="str">
        <x:f>IF(J17="","",IF(J17&gt;=90,"Outstanding",IF(J17&gt;=75,"Very Good",IF(J17&gt;=60,"Good",IF(J17&gt;=40,"Needs Improvement","Reappear / Remedial Support")))))</x:f>
      </x:c>
      <x:c r="N17" s="86"/>
    </x:row>
    <x:row r="18">
      <x:c r="A18" s="83"/>
      <x:c r="B18" s="83"/>
      <x:c r="C18" s="83"/>
      <x:c r="D18" s="84"/>
      <x:c r="E18" s="84"/>
      <x:c r="F18" s="84"/>
      <x:c r="G18" s="84"/>
      <x:c r="H18" s="84"/>
      <x:c r="I18" s="84" t="str">
        <x:f>IF(COUNTA(D18:H18)=0,"",SUM(D18:H18))</x:f>
      </x:c>
      <x:c r="J18" s="85" t="str">
        <x:f>IF(I18="","",I18/500*100)</x:f>
      </x:c>
      <x:c r="K18" s="83" t="str">
        <x:f>IF(J18="","",IF(J18&gt;=90,"A+",IF(J18&gt;=80,"A",IF(J18&gt;=70,"B",IF(J18&gt;=60,"C",IF(J18&gt;=50,"D","F"))))))</x:f>
      </x:c>
      <x:c r="L18" s="83" t="str">
        <x:f>IF(J18="","",IF(J18&gt;=40,"Pass","Fail"))</x:f>
      </x:c>
      <x:c r="M18" s="83" t="str">
        <x:f>IF(J18="","",IF(J18&gt;=90,"Outstanding",IF(J18&gt;=75,"Very Good",IF(J18&gt;=60,"Good",IF(J18&gt;=40,"Needs Improvement","Reappear / Remedial Support")))))</x:f>
      </x:c>
      <x:c r="N18" s="86"/>
    </x:row>
    <x:row r="19">
      <x:c r="A19" s="83"/>
      <x:c r="B19" s="83"/>
      <x:c r="C19" s="83"/>
      <x:c r="D19" s="84"/>
      <x:c r="E19" s="84"/>
      <x:c r="F19" s="84"/>
      <x:c r="G19" s="84"/>
      <x:c r="H19" s="84"/>
      <x:c r="I19" s="84" t="str">
        <x:f>IF(COUNTA(D19:H19)=0,"",SUM(D19:H19))</x:f>
      </x:c>
      <x:c r="J19" s="85" t="str">
        <x:f>IF(I19="","",I19/500*100)</x:f>
      </x:c>
      <x:c r="K19" s="83" t="str">
        <x:f>IF(J19="","",IF(J19&gt;=90,"A+",IF(J19&gt;=80,"A",IF(J19&gt;=70,"B",IF(J19&gt;=60,"C",IF(J19&gt;=50,"D","F"))))))</x:f>
      </x:c>
      <x:c r="L19" s="83" t="str">
        <x:f>IF(J19="","",IF(J19&gt;=40,"Pass","Fail"))</x:f>
      </x:c>
      <x:c r="M19" s="83" t="str">
        <x:f>IF(J19="","",IF(J19&gt;=90,"Outstanding",IF(J19&gt;=75,"Very Good",IF(J19&gt;=60,"Good",IF(J19&gt;=40,"Needs Improvement","Reappear / Remedial Support")))))</x:f>
      </x:c>
      <x:c r="N19" s="86"/>
    </x:row>
    <x:row r="20">
      <x:c r="A20" s="83"/>
      <x:c r="B20" s="83"/>
      <x:c r="C20" s="83"/>
      <x:c r="D20" s="84"/>
      <x:c r="E20" s="84"/>
      <x:c r="F20" s="84"/>
      <x:c r="G20" s="84"/>
      <x:c r="H20" s="84"/>
      <x:c r="I20" s="84" t="str">
        <x:f>IF(COUNTA(D20:H20)=0,"",SUM(D20:H20))</x:f>
      </x:c>
      <x:c r="J20" s="85" t="str">
        <x:f>IF(I20="","",I20/500*100)</x:f>
      </x:c>
      <x:c r="K20" s="83" t="str">
        <x:f>IF(J20="","",IF(J20&gt;=90,"A+",IF(J20&gt;=80,"A",IF(J20&gt;=70,"B",IF(J20&gt;=60,"C",IF(J20&gt;=50,"D","F"))))))</x:f>
      </x:c>
      <x:c r="L20" s="83" t="str">
        <x:f>IF(J20="","",IF(J20&gt;=40,"Pass","Fail"))</x:f>
      </x:c>
      <x:c r="M20" s="83" t="str">
        <x:f>IF(J20="","",IF(J20&gt;=90,"Outstanding",IF(J20&gt;=75,"Very Good",IF(J20&gt;=60,"Good",IF(J20&gt;=40,"Needs Improvement","Reappear / Remedial Support")))))</x:f>
      </x:c>
      <x:c r="N20" s="86"/>
    </x:row>
    <x:row r="21">
      <x:c r="A21" s="83"/>
      <x:c r="B21" s="83"/>
      <x:c r="C21" s="83"/>
      <x:c r="D21" s="84"/>
      <x:c r="E21" s="84"/>
      <x:c r="F21" s="84"/>
      <x:c r="G21" s="84"/>
      <x:c r="H21" s="84"/>
      <x:c r="I21" s="84" t="str">
        <x:f>IF(COUNTA(D21:H21)=0,"",SUM(D21:H21))</x:f>
      </x:c>
      <x:c r="J21" s="85" t="str">
        <x:f>IF(I21="","",I21/500*100)</x:f>
      </x:c>
      <x:c r="K21" s="83" t="str">
        <x:f>IF(J21="","",IF(J21&gt;=90,"A+",IF(J21&gt;=80,"A",IF(J21&gt;=70,"B",IF(J21&gt;=60,"C",IF(J21&gt;=50,"D","F"))))))</x:f>
      </x:c>
      <x:c r="L21" s="83" t="str">
        <x:f>IF(J21="","",IF(J21&gt;=40,"Pass","Fail"))</x:f>
      </x:c>
      <x:c r="M21" s="83" t="str">
        <x:f>IF(J21="","",IF(J21&gt;=90,"Outstanding",IF(J21&gt;=75,"Very Good",IF(J21&gt;=60,"Good",IF(J21&gt;=40,"Needs Improvement","Reappear / Remedial Support")))))</x:f>
      </x:c>
      <x:c r="N21" s="86"/>
    </x:row>
    <x:row r="22">
      <x:c r="A22" s="83"/>
      <x:c r="B22" s="83"/>
      <x:c r="C22" s="83"/>
      <x:c r="D22" s="84"/>
      <x:c r="E22" s="84"/>
      <x:c r="F22" s="84"/>
      <x:c r="G22" s="84"/>
      <x:c r="H22" s="84"/>
      <x:c r="I22" s="84" t="str">
        <x:f>IF(COUNTA(D22:H22)=0,"",SUM(D22:H22))</x:f>
      </x:c>
      <x:c r="J22" s="85" t="str">
        <x:f>IF(I22="","",I22/500*100)</x:f>
      </x:c>
      <x:c r="K22" s="83" t="str">
        <x:f>IF(J22="","",IF(J22&gt;=90,"A+",IF(J22&gt;=80,"A",IF(J22&gt;=70,"B",IF(J22&gt;=60,"C",IF(J22&gt;=50,"D","F"))))))</x:f>
      </x:c>
      <x:c r="L22" s="83" t="str">
        <x:f>IF(J22="","",IF(J22&gt;=40,"Pass","Fail"))</x:f>
      </x:c>
      <x:c r="M22" s="83" t="str">
        <x:f>IF(J22="","",IF(J22&gt;=90,"Outstanding",IF(J22&gt;=75,"Very Good",IF(J22&gt;=60,"Good",IF(J22&gt;=40,"Needs Improvement","Reappear / Remedial Support")))))</x:f>
      </x:c>
      <x:c r="N22" s="86"/>
    </x:row>
    <x:row r="23">
      <x:c r="A23" s="83"/>
      <x:c r="B23" s="83"/>
      <x:c r="C23" s="83"/>
      <x:c r="D23" s="84"/>
      <x:c r="E23" s="84"/>
      <x:c r="F23" s="84"/>
      <x:c r="G23" s="84"/>
      <x:c r="H23" s="84"/>
      <x:c r="I23" s="84" t="str">
        <x:f>IF(COUNTA(D23:H23)=0,"",SUM(D23:H23))</x:f>
      </x:c>
      <x:c r="J23" s="85" t="str">
        <x:f>IF(I23="","",I23/500*100)</x:f>
      </x:c>
      <x:c r="K23" s="83" t="str">
        <x:f>IF(J23="","",IF(J23&gt;=90,"A+",IF(J23&gt;=80,"A",IF(J23&gt;=70,"B",IF(J23&gt;=60,"C",IF(J23&gt;=50,"D","F"))))))</x:f>
      </x:c>
      <x:c r="L23" s="83" t="str">
        <x:f>IF(J23="","",IF(J23&gt;=40,"Pass","Fail"))</x:f>
      </x:c>
      <x:c r="M23" s="83" t="str">
        <x:f>IF(J23="","",IF(J23&gt;=90,"Outstanding",IF(J23&gt;=75,"Very Good",IF(J23&gt;=60,"Good",IF(J23&gt;=40,"Needs Improvement","Reappear / Remedial Support")))))</x:f>
      </x:c>
      <x:c r="N23" s="86"/>
    </x:row>
    <x:row r="24">
      <x:c r="A24" s="83"/>
      <x:c r="B24" s="83"/>
      <x:c r="C24" s="83"/>
      <x:c r="D24" s="84"/>
      <x:c r="E24" s="84"/>
      <x:c r="F24" s="84"/>
      <x:c r="G24" s="84"/>
      <x:c r="H24" s="84"/>
      <x:c r="I24" s="84" t="str">
        <x:f>IF(COUNTA(D24:H24)=0,"",SUM(D24:H24))</x:f>
      </x:c>
      <x:c r="J24" s="85" t="str">
        <x:f>IF(I24="","",I24/500*100)</x:f>
      </x:c>
      <x:c r="K24" s="83" t="str">
        <x:f>IF(J24="","",IF(J24&gt;=90,"A+",IF(J24&gt;=80,"A",IF(J24&gt;=70,"B",IF(J24&gt;=60,"C",IF(J24&gt;=50,"D","F"))))))</x:f>
      </x:c>
      <x:c r="L24" s="83" t="str">
        <x:f>IF(J24="","",IF(J24&gt;=40,"Pass","Fail"))</x:f>
      </x:c>
      <x:c r="M24" s="83" t="str">
        <x:f>IF(J24="","",IF(J24&gt;=90,"Outstanding",IF(J24&gt;=75,"Very Good",IF(J24&gt;=60,"Good",IF(J24&gt;=40,"Needs Improvement","Reappear / Remedial Support")))))</x:f>
      </x:c>
      <x:c r="N24" s="86"/>
    </x:row>
    <x:row r="25">
      <x:c r="A25" s="83"/>
      <x:c r="B25" s="83"/>
      <x:c r="C25" s="83"/>
      <x:c r="D25" s="84"/>
      <x:c r="E25" s="84"/>
      <x:c r="F25" s="84"/>
      <x:c r="G25" s="84"/>
      <x:c r="H25" s="84"/>
      <x:c r="I25" s="84" t="str">
        <x:f>IF(COUNTA(D25:H25)=0,"",SUM(D25:H25))</x:f>
      </x:c>
      <x:c r="J25" s="85" t="str">
        <x:f>IF(I25="","",I25/500*100)</x:f>
      </x:c>
      <x:c r="K25" s="83" t="str">
        <x:f>IF(J25="","",IF(J25&gt;=90,"A+",IF(J25&gt;=80,"A",IF(J25&gt;=70,"B",IF(J25&gt;=60,"C",IF(J25&gt;=50,"D","F"))))))</x:f>
      </x:c>
      <x:c r="L25" s="83" t="str">
        <x:f>IF(J25="","",IF(J25&gt;=40,"Pass","Fail"))</x:f>
      </x:c>
      <x:c r="M25" s="83" t="str">
        <x:f>IF(J25="","",IF(J25&gt;=90,"Outstanding",IF(J25&gt;=75,"Very Good",IF(J25&gt;=60,"Good",IF(J25&gt;=40,"Needs Improvement","Reappear / Remedial Support")))))</x:f>
      </x:c>
      <x:c r="N25" s="86"/>
    </x:row>
    <x:row r="26">
      <x:c r="A26" s="83"/>
      <x:c r="B26" s="83"/>
      <x:c r="C26" s="83"/>
      <x:c r="D26" s="84"/>
      <x:c r="E26" s="84"/>
      <x:c r="F26" s="84"/>
      <x:c r="G26" s="84"/>
      <x:c r="H26" s="84"/>
      <x:c r="I26" s="84" t="str">
        <x:f>IF(COUNTA(D26:H26)=0,"",SUM(D26:H26))</x:f>
      </x:c>
      <x:c r="J26" s="85" t="str">
        <x:f>IF(I26="","",I26/500*100)</x:f>
      </x:c>
      <x:c r="K26" s="83" t="str">
        <x:f>IF(J26="","",IF(J26&gt;=90,"A+",IF(J26&gt;=80,"A",IF(J26&gt;=70,"B",IF(J26&gt;=60,"C",IF(J26&gt;=50,"D","F"))))))</x:f>
      </x:c>
      <x:c r="L26" s="83" t="str">
        <x:f>IF(J26="","",IF(J26&gt;=40,"Pass","Fail"))</x:f>
      </x:c>
      <x:c r="M26" s="83" t="str">
        <x:f>IF(J26="","",IF(J26&gt;=90,"Outstanding",IF(J26&gt;=75,"Very Good",IF(J26&gt;=60,"Good",IF(J26&gt;=40,"Needs Improvement","Reappear / Remedial Support")))))</x:f>
      </x:c>
      <x:c r="N26" s="86"/>
    </x:row>
    <x:row r="27">
      <x:c r="A27" s="83"/>
      <x:c r="B27" s="83"/>
      <x:c r="C27" s="83"/>
      <x:c r="D27" s="84"/>
      <x:c r="E27" s="84"/>
      <x:c r="F27" s="84"/>
      <x:c r="G27" s="84"/>
      <x:c r="H27" s="84"/>
      <x:c r="I27" s="84" t="str">
        <x:f>IF(COUNTA(D27:H27)=0,"",SUM(D27:H27))</x:f>
      </x:c>
      <x:c r="J27" s="85" t="str">
        <x:f>IF(I27="","",I27/500*100)</x:f>
      </x:c>
      <x:c r="K27" s="83" t="str">
        <x:f>IF(J27="","",IF(J27&gt;=90,"A+",IF(J27&gt;=80,"A",IF(J27&gt;=70,"B",IF(J27&gt;=60,"C",IF(J27&gt;=50,"D","F"))))))</x:f>
      </x:c>
      <x:c r="L27" s="83" t="str">
        <x:f>IF(J27="","",IF(J27&gt;=40,"Pass","Fail"))</x:f>
      </x:c>
      <x:c r="M27" s="83" t="str">
        <x:f>IF(J27="","",IF(J27&gt;=90,"Outstanding",IF(J27&gt;=75,"Very Good",IF(J27&gt;=60,"Good",IF(J27&gt;=40,"Needs Improvement","Reappear / Remedial Support")))))</x:f>
      </x:c>
      <x:c r="N27" s="86"/>
    </x:row>
    <x:row r="28">
      <x:c r="A28" s="83"/>
      <x:c r="B28" s="83"/>
      <x:c r="C28" s="83"/>
      <x:c r="D28" s="84"/>
      <x:c r="E28" s="84"/>
      <x:c r="F28" s="84"/>
      <x:c r="G28" s="84"/>
      <x:c r="H28" s="84"/>
      <x:c r="I28" s="84" t="str">
        <x:f>IF(COUNTA(D28:H28)=0,"",SUM(D28:H28))</x:f>
      </x:c>
      <x:c r="J28" s="85" t="str">
        <x:f>IF(I28="","",I28/500*100)</x:f>
      </x:c>
      <x:c r="K28" s="83" t="str">
        <x:f>IF(J28="","",IF(J28&gt;=90,"A+",IF(J28&gt;=80,"A",IF(J28&gt;=70,"B",IF(J28&gt;=60,"C",IF(J28&gt;=50,"D","F"))))))</x:f>
      </x:c>
      <x:c r="L28" s="83" t="str">
        <x:f>IF(J28="","",IF(J28&gt;=40,"Pass","Fail"))</x:f>
      </x:c>
      <x:c r="M28" s="83" t="str">
        <x:f>IF(J28="","",IF(J28&gt;=90,"Outstanding",IF(J28&gt;=75,"Very Good",IF(J28&gt;=60,"Good",IF(J28&gt;=40,"Needs Improvement","Reappear / Remedial Support")))))</x:f>
      </x:c>
      <x:c r="N28" s="86"/>
    </x:row>
    <x:row r="29">
      <x:c r="A29" s="83"/>
      <x:c r="B29" s="83"/>
      <x:c r="C29" s="83"/>
      <x:c r="D29" s="84"/>
      <x:c r="E29" s="84"/>
      <x:c r="F29" s="84"/>
      <x:c r="G29" s="84"/>
      <x:c r="H29" s="84"/>
      <x:c r="I29" s="84" t="str">
        <x:f>IF(COUNTA(D29:H29)=0,"",SUM(D29:H29))</x:f>
      </x:c>
      <x:c r="J29" s="85" t="str">
        <x:f>IF(I29="","",I29/500*100)</x:f>
      </x:c>
      <x:c r="K29" s="83" t="str">
        <x:f>IF(J29="","",IF(J29&gt;=90,"A+",IF(J29&gt;=80,"A",IF(J29&gt;=70,"B",IF(J29&gt;=60,"C",IF(J29&gt;=50,"D","F"))))))</x:f>
      </x:c>
      <x:c r="L29" s="83" t="str">
        <x:f>IF(J29="","",IF(J29&gt;=40,"Pass","Fail"))</x:f>
      </x:c>
      <x:c r="M29" s="83" t="str">
        <x:f>IF(J29="","",IF(J29&gt;=90,"Outstanding",IF(J29&gt;=75,"Very Good",IF(J29&gt;=60,"Good",IF(J29&gt;=40,"Needs Improvement","Reappear / Remedial Support")))))</x:f>
      </x:c>
      <x:c r="N29" s="86"/>
    </x:row>
    <x:row r="30">
      <x:c r="A30" s="83"/>
      <x:c r="B30" s="83"/>
      <x:c r="C30" s="83"/>
      <x:c r="D30" s="84"/>
      <x:c r="E30" s="84"/>
      <x:c r="F30" s="84"/>
      <x:c r="G30" s="84"/>
      <x:c r="H30" s="84"/>
      <x:c r="I30" s="84" t="str">
        <x:f>IF(COUNTA(D30:H30)=0,"",SUM(D30:H30))</x:f>
      </x:c>
      <x:c r="J30" s="85" t="str">
        <x:f>IF(I30="","",I30/500*100)</x:f>
      </x:c>
      <x:c r="K30" s="83" t="str">
        <x:f>IF(J30="","",IF(J30&gt;=90,"A+",IF(J30&gt;=80,"A",IF(J30&gt;=70,"B",IF(J30&gt;=60,"C",IF(J30&gt;=50,"D","F"))))))</x:f>
      </x:c>
      <x:c r="L30" s="83" t="str">
        <x:f>IF(J30="","",IF(J30&gt;=40,"Pass","Fail"))</x:f>
      </x:c>
      <x:c r="M30" s="83" t="str">
        <x:f>IF(J30="","",IF(J30&gt;=90,"Outstanding",IF(J30&gt;=75,"Very Good",IF(J30&gt;=60,"Good",IF(J30&gt;=40,"Needs Improvement","Reappear / Remedial Support")))))</x:f>
      </x:c>
      <x:c r="N30" s="86"/>
    </x:row>
    <x:row r="31">
      <x:c r="A31" s="83"/>
      <x:c r="B31" s="83"/>
      <x:c r="C31" s="83"/>
      <x:c r="D31" s="84"/>
      <x:c r="E31" s="84"/>
      <x:c r="F31" s="84"/>
      <x:c r="G31" s="84"/>
      <x:c r="H31" s="84"/>
      <x:c r="I31" s="84" t="str">
        <x:f>IF(COUNTA(D31:H31)=0,"",SUM(D31:H31))</x:f>
      </x:c>
      <x:c r="J31" s="85" t="str">
        <x:f>IF(I31="","",I31/500*100)</x:f>
      </x:c>
      <x:c r="K31" s="83" t="str">
        <x:f>IF(J31="","",IF(J31&gt;=90,"A+",IF(J31&gt;=80,"A",IF(J31&gt;=70,"B",IF(J31&gt;=60,"C",IF(J31&gt;=50,"D","F"))))))</x:f>
      </x:c>
      <x:c r="L31" s="83" t="str">
        <x:f>IF(J31="","",IF(J31&gt;=40,"Pass","Fail"))</x:f>
      </x:c>
      <x:c r="M31" s="83" t="str">
        <x:f>IF(J31="","",IF(J31&gt;=90,"Outstanding",IF(J31&gt;=75,"Very Good",IF(J31&gt;=60,"Good",IF(J31&gt;=40,"Needs Improvement","Reappear / Remedial Support")))))</x:f>
      </x:c>
      <x:c r="N31" s="86"/>
    </x:row>
    <x:row r="32">
      <x:c r="A32" s="83"/>
      <x:c r="B32" s="83"/>
      <x:c r="C32" s="83"/>
      <x:c r="D32" s="84"/>
      <x:c r="E32" s="84"/>
      <x:c r="F32" s="84"/>
      <x:c r="G32" s="84"/>
      <x:c r="H32" s="84"/>
      <x:c r="I32" s="84" t="str">
        <x:f>IF(COUNTA(D32:H32)=0,"",SUM(D32:H32))</x:f>
      </x:c>
      <x:c r="J32" s="85" t="str">
        <x:f>IF(I32="","",I32/500*100)</x:f>
      </x:c>
      <x:c r="K32" s="83" t="str">
        <x:f>IF(J32="","",IF(J32&gt;=90,"A+",IF(J32&gt;=80,"A",IF(J32&gt;=70,"B",IF(J32&gt;=60,"C",IF(J32&gt;=50,"D","F"))))))</x:f>
      </x:c>
      <x:c r="L32" s="83" t="str">
        <x:f>IF(J32="","",IF(J32&gt;=40,"Pass","Fail"))</x:f>
      </x:c>
      <x:c r="M32" s="83" t="str">
        <x:f>IF(J32="","",IF(J32&gt;=90,"Outstanding",IF(J32&gt;=75,"Very Good",IF(J32&gt;=60,"Good",IF(J32&gt;=40,"Needs Improvement","Reappear / Remedial Support")))))</x:f>
      </x:c>
      <x:c r="N32" s="86"/>
    </x:row>
    <x:row r="33">
      <x:c r="A33" s="83"/>
      <x:c r="B33" s="83"/>
      <x:c r="C33" s="83"/>
      <x:c r="D33" s="84"/>
      <x:c r="E33" s="84"/>
      <x:c r="F33" s="84"/>
      <x:c r="G33" s="84"/>
      <x:c r="H33" s="84"/>
      <x:c r="I33" s="84" t="str">
        <x:f>IF(COUNTA(D33:H33)=0,"",SUM(D33:H33))</x:f>
      </x:c>
      <x:c r="J33" s="85" t="str">
        <x:f>IF(I33="","",I33/500*100)</x:f>
      </x:c>
      <x:c r="K33" s="83" t="str">
        <x:f>IF(J33="","",IF(J33&gt;=90,"A+",IF(J33&gt;=80,"A",IF(J33&gt;=70,"B",IF(J33&gt;=60,"C",IF(J33&gt;=50,"D","F"))))))</x:f>
      </x:c>
      <x:c r="L33" s="83" t="str">
        <x:f>IF(J33="","",IF(J33&gt;=40,"Pass","Fail"))</x:f>
      </x:c>
      <x:c r="M33" s="83" t="str">
        <x:f>IF(J33="","",IF(J33&gt;=90,"Outstanding",IF(J33&gt;=75,"Very Good",IF(J33&gt;=60,"Good",IF(J33&gt;=40,"Needs Improvement","Reappear / Remedial Support")))))</x:f>
      </x:c>
      <x:c r="N33" s="86"/>
    </x:row>
    <x:row r="34">
      <x:c r="A34" s="83"/>
      <x:c r="B34" s="83"/>
      <x:c r="C34" s="83"/>
      <x:c r="D34" s="84"/>
      <x:c r="E34" s="84"/>
      <x:c r="F34" s="84"/>
      <x:c r="G34" s="84"/>
      <x:c r="H34" s="84"/>
      <x:c r="I34" s="84" t="str">
        <x:f>IF(COUNTA(D34:H34)=0,"",SUM(D34:H34))</x:f>
      </x:c>
      <x:c r="J34" s="85" t="str">
        <x:f>IF(I34="","",I34/500*100)</x:f>
      </x:c>
      <x:c r="K34" s="83" t="str">
        <x:f>IF(J34="","",IF(J34&gt;=90,"A+",IF(J34&gt;=80,"A",IF(J34&gt;=70,"B",IF(J34&gt;=60,"C",IF(J34&gt;=50,"D","F"))))))</x:f>
      </x:c>
      <x:c r="L34" s="83" t="str">
        <x:f>IF(J34="","",IF(J34&gt;=40,"Pass","Fail"))</x:f>
      </x:c>
      <x:c r="M34" s="83" t="str">
        <x:f>IF(J34="","",IF(J34&gt;=90,"Outstanding",IF(J34&gt;=75,"Very Good",IF(J34&gt;=60,"Good",IF(J34&gt;=40,"Needs Improvement","Reappear / Remedial Support")))))</x:f>
      </x:c>
      <x:c r="N34" s="86"/>
    </x:row>
    <x:row r="35">
      <x:c r="A35" s="83"/>
      <x:c r="B35" s="83"/>
      <x:c r="C35" s="83"/>
      <x:c r="D35" s="84"/>
      <x:c r="E35" s="84"/>
      <x:c r="F35" s="84"/>
      <x:c r="G35" s="84"/>
      <x:c r="H35" s="84"/>
      <x:c r="I35" s="84" t="str">
        <x:f>IF(COUNTA(D35:H35)=0,"",SUM(D35:H35))</x:f>
      </x:c>
      <x:c r="J35" s="85" t="str">
        <x:f>IF(I35="","",I35/500*100)</x:f>
      </x:c>
      <x:c r="K35" s="83" t="str">
        <x:f>IF(J35="","",IF(J35&gt;=90,"A+",IF(J35&gt;=80,"A",IF(J35&gt;=70,"B",IF(J35&gt;=60,"C",IF(J35&gt;=50,"D","F"))))))</x:f>
      </x:c>
      <x:c r="L35" s="83" t="str">
        <x:f>IF(J35="","",IF(J35&gt;=40,"Pass","Fail"))</x:f>
      </x:c>
      <x:c r="M35" s="83" t="str">
        <x:f>IF(J35="","",IF(J35&gt;=90,"Outstanding",IF(J35&gt;=75,"Very Good",IF(J35&gt;=60,"Good",IF(J35&gt;=40,"Needs Improvement","Reappear / Remedial Support")))))</x:f>
      </x:c>
      <x:c r="N35" s="86"/>
    </x:row>
    <x:row r="36">
      <x:c r="A36" s="83"/>
      <x:c r="B36" s="83"/>
      <x:c r="C36" s="83"/>
      <x:c r="D36" s="84"/>
      <x:c r="E36" s="84"/>
      <x:c r="F36" s="84"/>
      <x:c r="G36" s="84"/>
      <x:c r="H36" s="84"/>
      <x:c r="I36" s="84" t="str">
        <x:f>IF(COUNTA(D36:H36)=0,"",SUM(D36:H36))</x:f>
      </x:c>
      <x:c r="J36" s="85" t="str">
        <x:f>IF(I36="","",I36/500*100)</x:f>
      </x:c>
      <x:c r="K36" s="83" t="str">
        <x:f>IF(J36="","",IF(J36&gt;=90,"A+",IF(J36&gt;=80,"A",IF(J36&gt;=70,"B",IF(J36&gt;=60,"C",IF(J36&gt;=50,"D","F"))))))</x:f>
      </x:c>
      <x:c r="L36" s="83" t="str">
        <x:f>IF(J36="","",IF(J36&gt;=40,"Pass","Fail"))</x:f>
      </x:c>
      <x:c r="M36" s="83" t="str">
        <x:f>IF(J36="","",IF(J36&gt;=90,"Outstanding",IF(J36&gt;=75,"Very Good",IF(J36&gt;=60,"Good",IF(J36&gt;=40,"Needs Improvement","Reappear / Remedial Support")))))</x:f>
      </x:c>
      <x:c r="N36" s="86"/>
    </x:row>
    <x:row r="37">
      <x:c r="A37" s="83"/>
      <x:c r="B37" s="83"/>
      <x:c r="C37" s="83"/>
      <x:c r="D37" s="84"/>
      <x:c r="E37" s="84"/>
      <x:c r="F37" s="84"/>
      <x:c r="G37" s="84"/>
      <x:c r="H37" s="84"/>
      <x:c r="I37" s="84" t="str">
        <x:f>IF(COUNTA(D37:H37)=0,"",SUM(D37:H37))</x:f>
      </x:c>
      <x:c r="J37" s="85" t="str">
        <x:f>IF(I37="","",I37/500*100)</x:f>
      </x:c>
      <x:c r="K37" s="83" t="str">
        <x:f>IF(J37="","",IF(J37&gt;=90,"A+",IF(J37&gt;=80,"A",IF(J37&gt;=70,"B",IF(J37&gt;=60,"C",IF(J37&gt;=50,"D","F"))))))</x:f>
      </x:c>
      <x:c r="L37" s="83" t="str">
        <x:f>IF(J37="","",IF(J37&gt;=40,"Pass","Fail"))</x:f>
      </x:c>
      <x:c r="M37" s="83" t="str">
        <x:f>IF(J37="","",IF(J37&gt;=90,"Outstanding",IF(J37&gt;=75,"Very Good",IF(J37&gt;=60,"Good",IF(J37&gt;=40,"Needs Improvement","Reappear / Remedial Support")))))</x:f>
      </x:c>
      <x:c r="N37" s="86"/>
    </x:row>
    <x:row r="38">
      <x:c r="A38" s="83"/>
      <x:c r="B38" s="83"/>
      <x:c r="C38" s="83"/>
      <x:c r="D38" s="84"/>
      <x:c r="E38" s="84"/>
      <x:c r="F38" s="84"/>
      <x:c r="G38" s="84"/>
      <x:c r="H38" s="84"/>
      <x:c r="I38" s="84" t="str">
        <x:f>IF(COUNTA(D38:H38)=0,"",SUM(D38:H38))</x:f>
      </x:c>
      <x:c r="J38" s="85" t="str">
        <x:f>IF(I38="","",I38/500*100)</x:f>
      </x:c>
      <x:c r="K38" s="83" t="str">
        <x:f>IF(J38="","",IF(J38&gt;=90,"A+",IF(J38&gt;=80,"A",IF(J38&gt;=70,"B",IF(J38&gt;=60,"C",IF(J38&gt;=50,"D","F"))))))</x:f>
      </x:c>
      <x:c r="L38" s="83" t="str">
        <x:f>IF(J38="","",IF(J38&gt;=40,"Pass","Fail"))</x:f>
      </x:c>
      <x:c r="M38" s="83" t="str">
        <x:f>IF(J38="","",IF(J38&gt;=90,"Outstanding",IF(J38&gt;=75,"Very Good",IF(J38&gt;=60,"Good",IF(J38&gt;=40,"Needs Improvement","Reappear / Remedial Support")))))</x:f>
      </x:c>
      <x:c r="N38" s="86"/>
    </x:row>
    <x:row r="39">
      <x:c r="A39" s="83"/>
      <x:c r="B39" s="83"/>
      <x:c r="C39" s="83"/>
      <x:c r="D39" s="84"/>
      <x:c r="E39" s="84"/>
      <x:c r="F39" s="84"/>
      <x:c r="G39" s="84"/>
      <x:c r="H39" s="84"/>
      <x:c r="I39" s="84" t="str">
        <x:f>IF(COUNTA(D39:H39)=0,"",SUM(D39:H39))</x:f>
      </x:c>
      <x:c r="J39" s="85" t="str">
        <x:f>IF(I39="","",I39/500*100)</x:f>
      </x:c>
      <x:c r="K39" s="83" t="str">
        <x:f>IF(J39="","",IF(J39&gt;=90,"A+",IF(J39&gt;=80,"A",IF(J39&gt;=70,"B",IF(J39&gt;=60,"C",IF(J39&gt;=50,"D","F"))))))</x:f>
      </x:c>
      <x:c r="L39" s="83" t="str">
        <x:f>IF(J39="","",IF(J39&gt;=40,"Pass","Fail"))</x:f>
      </x:c>
      <x:c r="M39" s="83" t="str">
        <x:f>IF(J39="","",IF(J39&gt;=90,"Outstanding",IF(J39&gt;=75,"Very Good",IF(J39&gt;=60,"Good",IF(J39&gt;=40,"Needs Improvement","Reappear / Remedial Support")))))</x:f>
      </x:c>
      <x:c r="N39" s="86"/>
    </x:row>
    <x:row r="40">
      <x:c r="A40" s="83"/>
      <x:c r="B40" s="83"/>
      <x:c r="C40" s="83"/>
      <x:c r="D40" s="84"/>
      <x:c r="E40" s="84"/>
      <x:c r="F40" s="84"/>
      <x:c r="G40" s="84"/>
      <x:c r="H40" s="84"/>
      <x:c r="I40" s="84" t="str">
        <x:f>IF(COUNTA(D40:H40)=0,"",SUM(D40:H40))</x:f>
      </x:c>
      <x:c r="J40" s="85" t="str">
        <x:f>IF(I40="","",I40/500*100)</x:f>
      </x:c>
      <x:c r="K40" s="83" t="str">
        <x:f>IF(J40="","",IF(J40&gt;=90,"A+",IF(J40&gt;=80,"A",IF(J40&gt;=70,"B",IF(J40&gt;=60,"C",IF(J40&gt;=50,"D","F"))))))</x:f>
      </x:c>
      <x:c r="L40" s="83" t="str">
        <x:f>IF(J40="","",IF(J40&gt;=40,"Pass","Fail"))</x:f>
      </x:c>
      <x:c r="M40" s="83" t="str">
        <x:f>IF(J40="","",IF(J40&gt;=90,"Outstanding",IF(J40&gt;=75,"Very Good",IF(J40&gt;=60,"Good",IF(J40&gt;=40,"Needs Improvement","Reappear / Remedial Support")))))</x:f>
      </x:c>
      <x:c r="N40" s="86"/>
    </x:row>
    <x:row r="41">
      <x:c r="A41" s="83"/>
      <x:c r="B41" s="83"/>
      <x:c r="C41" s="83"/>
      <x:c r="D41" s="84"/>
      <x:c r="E41" s="84"/>
      <x:c r="F41" s="84"/>
      <x:c r="G41" s="84"/>
      <x:c r="H41" s="84"/>
      <x:c r="I41" s="84" t="str">
        <x:f>IF(COUNTA(D41:H41)=0,"",SUM(D41:H41))</x:f>
      </x:c>
      <x:c r="J41" s="85" t="str">
        <x:f>IF(I41="","",I41/500*100)</x:f>
      </x:c>
      <x:c r="K41" s="83" t="str">
        <x:f>IF(J41="","",IF(J41&gt;=90,"A+",IF(J41&gt;=80,"A",IF(J41&gt;=70,"B",IF(J41&gt;=60,"C",IF(J41&gt;=50,"D","F"))))))</x:f>
      </x:c>
      <x:c r="L41" s="83" t="str">
        <x:f>IF(J41="","",IF(J41&gt;=40,"Pass","Fail"))</x:f>
      </x:c>
      <x:c r="M41" s="83" t="str">
        <x:f>IF(J41="","",IF(J41&gt;=90,"Outstanding",IF(J41&gt;=75,"Very Good",IF(J41&gt;=60,"Good",IF(J41&gt;=40,"Needs Improvement","Reappear / Remedial Support")))))</x:f>
      </x:c>
      <x:c r="N41" s="86"/>
    </x:row>
    <x:row r="42">
      <x:c r="A42" s="83"/>
      <x:c r="B42" s="83"/>
      <x:c r="C42" s="83"/>
      <x:c r="D42" s="84"/>
      <x:c r="E42" s="84"/>
      <x:c r="F42" s="84"/>
      <x:c r="G42" s="84"/>
      <x:c r="H42" s="84"/>
      <x:c r="I42" s="84" t="str">
        <x:f>IF(COUNTA(D42:H42)=0,"",SUM(D42:H42))</x:f>
      </x:c>
      <x:c r="J42" s="85" t="str">
        <x:f>IF(I42="","",I42/500*100)</x:f>
      </x:c>
      <x:c r="K42" s="83" t="str">
        <x:f>IF(J42="","",IF(J42&gt;=90,"A+",IF(J42&gt;=80,"A",IF(J42&gt;=70,"B",IF(J42&gt;=60,"C",IF(J42&gt;=50,"D","F"))))))</x:f>
      </x:c>
      <x:c r="L42" s="83" t="str">
        <x:f>IF(J42="","",IF(J42&gt;=40,"Pass","Fail"))</x:f>
      </x:c>
      <x:c r="M42" s="83" t="str">
        <x:f>IF(J42="","",IF(J42&gt;=90,"Outstanding",IF(J42&gt;=75,"Very Good",IF(J42&gt;=60,"Good",IF(J42&gt;=40,"Needs Improvement","Reappear / Remedial Support")))))</x:f>
      </x:c>
      <x:c r="N42" s="86"/>
    </x:row>
    <x:row r="43">
      <x:c r="A43" s="83"/>
      <x:c r="B43" s="83"/>
      <x:c r="C43" s="83"/>
      <x:c r="D43" s="84"/>
      <x:c r="E43" s="84"/>
      <x:c r="F43" s="84"/>
      <x:c r="G43" s="84"/>
      <x:c r="H43" s="84"/>
      <x:c r="I43" s="84" t="str">
        <x:f>IF(COUNTA(D43:H43)=0,"",SUM(D43:H43))</x:f>
      </x:c>
      <x:c r="J43" s="85" t="str">
        <x:f>IF(I43="","",I43/500*100)</x:f>
      </x:c>
      <x:c r="K43" s="83" t="str">
        <x:f>IF(J43="","",IF(J43&gt;=90,"A+",IF(J43&gt;=80,"A",IF(J43&gt;=70,"B",IF(J43&gt;=60,"C",IF(J43&gt;=50,"D","F"))))))</x:f>
      </x:c>
      <x:c r="L43" s="83" t="str">
        <x:f>IF(J43="","",IF(J43&gt;=40,"Pass","Fail"))</x:f>
      </x:c>
      <x:c r="M43" s="83" t="str">
        <x:f>IF(J43="","",IF(J43&gt;=90,"Outstanding",IF(J43&gt;=75,"Very Good",IF(J43&gt;=60,"Good",IF(J43&gt;=40,"Needs Improvement","Reappear / Remedial Support")))))</x:f>
      </x:c>
      <x:c r="N43" s="86"/>
    </x:row>
    <x:row r="44">
      <x:c r="A44" s="83"/>
      <x:c r="B44" s="83"/>
      <x:c r="C44" s="83"/>
      <x:c r="D44" s="84"/>
      <x:c r="E44" s="84"/>
      <x:c r="F44" s="84"/>
      <x:c r="G44" s="84"/>
      <x:c r="H44" s="84"/>
      <x:c r="I44" s="84" t="str">
        <x:f>IF(COUNTA(D44:H44)=0,"",SUM(D44:H44))</x:f>
      </x:c>
      <x:c r="J44" s="85" t="str">
        <x:f>IF(I44="","",I44/500*100)</x:f>
      </x:c>
      <x:c r="K44" s="83" t="str">
        <x:f>IF(J44="","",IF(J44&gt;=90,"A+",IF(J44&gt;=80,"A",IF(J44&gt;=70,"B",IF(J44&gt;=60,"C",IF(J44&gt;=50,"D","F"))))))</x:f>
      </x:c>
      <x:c r="L44" s="83" t="str">
        <x:f>IF(J44="","",IF(J44&gt;=40,"Pass","Fail"))</x:f>
      </x:c>
      <x:c r="M44" s="83" t="str">
        <x:f>IF(J44="","",IF(J44&gt;=90,"Outstanding",IF(J44&gt;=75,"Very Good",IF(J44&gt;=60,"Good",IF(J44&gt;=40,"Needs Improvement","Reappear / Remedial Support")))))</x:f>
      </x:c>
      <x:c r="N44" s="86"/>
    </x:row>
    <x:row r="45">
      <x:c r="A45" s="83"/>
      <x:c r="B45" s="83"/>
      <x:c r="C45" s="83"/>
      <x:c r="D45" s="84"/>
      <x:c r="E45" s="84"/>
      <x:c r="F45" s="84"/>
      <x:c r="G45" s="84"/>
      <x:c r="H45" s="84"/>
      <x:c r="I45" s="84" t="str">
        <x:f>IF(COUNTA(D45:H45)=0,"",SUM(D45:H45))</x:f>
      </x:c>
      <x:c r="J45" s="85" t="str">
        <x:f>IF(I45="","",I45/500*100)</x:f>
      </x:c>
      <x:c r="K45" s="83" t="str">
        <x:f>IF(J45="","",IF(J45&gt;=90,"A+",IF(J45&gt;=80,"A",IF(J45&gt;=70,"B",IF(J45&gt;=60,"C",IF(J45&gt;=50,"D","F"))))))</x:f>
      </x:c>
      <x:c r="L45" s="83" t="str">
        <x:f>IF(J45="","",IF(J45&gt;=40,"Pass","Fail"))</x:f>
      </x:c>
      <x:c r="M45" s="83" t="str">
        <x:f>IF(J45="","",IF(J45&gt;=90,"Outstanding",IF(J45&gt;=75,"Very Good",IF(J45&gt;=60,"Good",IF(J45&gt;=40,"Needs Improvement","Reappear / Remedial Support")))))</x:f>
      </x:c>
      <x:c r="N45" s="86"/>
    </x:row>
    <x:row r="46">
      <x:c r="A46" s="83"/>
      <x:c r="B46" s="83"/>
      <x:c r="C46" s="83"/>
      <x:c r="D46" s="84"/>
      <x:c r="E46" s="84"/>
      <x:c r="F46" s="84"/>
      <x:c r="G46" s="84"/>
      <x:c r="H46" s="84"/>
      <x:c r="I46" s="84" t="str">
        <x:f>IF(COUNTA(D46:H46)=0,"",SUM(D46:H46))</x:f>
      </x:c>
      <x:c r="J46" s="85" t="str">
        <x:f>IF(I46="","",I46/500*100)</x:f>
      </x:c>
      <x:c r="K46" s="83" t="str">
        <x:f>IF(J46="","",IF(J46&gt;=90,"A+",IF(J46&gt;=80,"A",IF(J46&gt;=70,"B",IF(J46&gt;=60,"C",IF(J46&gt;=50,"D","F"))))))</x:f>
      </x:c>
      <x:c r="L46" s="83" t="str">
        <x:f>IF(J46="","",IF(J46&gt;=40,"Pass","Fail"))</x:f>
      </x:c>
      <x:c r="M46" s="83" t="str">
        <x:f>IF(J46="","",IF(J46&gt;=90,"Outstanding",IF(J46&gt;=75,"Very Good",IF(J46&gt;=60,"Good",IF(J46&gt;=40,"Needs Improvement","Reappear / Remedial Support")))))</x:f>
      </x:c>
      <x:c r="N46" s="86"/>
    </x:row>
    <x:row r="47">
      <x:c r="A47" s="83"/>
      <x:c r="B47" s="83"/>
      <x:c r="C47" s="83"/>
      <x:c r="D47" s="84"/>
      <x:c r="E47" s="84"/>
      <x:c r="F47" s="84"/>
      <x:c r="G47" s="84"/>
      <x:c r="H47" s="84"/>
      <x:c r="I47" s="84" t="str">
        <x:f>IF(COUNTA(D47:H47)=0,"",SUM(D47:H47))</x:f>
      </x:c>
      <x:c r="J47" s="85" t="str">
        <x:f>IF(I47="","",I47/500*100)</x:f>
      </x:c>
      <x:c r="K47" s="83" t="str">
        <x:f>IF(J47="","",IF(J47&gt;=90,"A+",IF(J47&gt;=80,"A",IF(J47&gt;=70,"B",IF(J47&gt;=60,"C",IF(J47&gt;=50,"D","F"))))))</x:f>
      </x:c>
      <x:c r="L47" s="83" t="str">
        <x:f>IF(J47="","",IF(J47&gt;=40,"Pass","Fail"))</x:f>
      </x:c>
      <x:c r="M47" s="83" t="str">
        <x:f>IF(J47="","",IF(J47&gt;=90,"Outstanding",IF(J47&gt;=75,"Very Good",IF(J47&gt;=60,"Good",IF(J47&gt;=40,"Needs Improvement","Reappear / Remedial Support")))))</x:f>
      </x:c>
      <x:c r="N47" s="86"/>
    </x:row>
    <x:row r="48">
      <x:c r="A48" s="83"/>
      <x:c r="B48" s="83"/>
      <x:c r="C48" s="83"/>
      <x:c r="D48" s="84"/>
      <x:c r="E48" s="84"/>
      <x:c r="F48" s="84"/>
      <x:c r="G48" s="84"/>
      <x:c r="H48" s="84"/>
      <x:c r="I48" s="84" t="str">
        <x:f>IF(COUNTA(D48:H48)=0,"",SUM(D48:H48))</x:f>
      </x:c>
      <x:c r="J48" s="85" t="str">
        <x:f>IF(I48="","",I48/500*100)</x:f>
      </x:c>
      <x:c r="K48" s="83" t="str">
        <x:f>IF(J48="","",IF(J48&gt;=90,"A+",IF(J48&gt;=80,"A",IF(J48&gt;=70,"B",IF(J48&gt;=60,"C",IF(J48&gt;=50,"D","F"))))))</x:f>
      </x:c>
      <x:c r="L48" s="83" t="str">
        <x:f>IF(J48="","",IF(J48&gt;=40,"Pass","Fail"))</x:f>
      </x:c>
      <x:c r="M48" s="83" t="str">
        <x:f>IF(J48="","",IF(J48&gt;=90,"Outstanding",IF(J48&gt;=75,"Very Good",IF(J48&gt;=60,"Good",IF(J48&gt;=40,"Needs Improvement","Reappear / Remedial Support")))))</x:f>
      </x:c>
      <x:c r="N48" s="86"/>
    </x:row>
    <x:row r="49">
      <x:c r="A49" s="83"/>
      <x:c r="B49" s="83"/>
      <x:c r="C49" s="83"/>
      <x:c r="D49" s="84"/>
      <x:c r="E49" s="84"/>
      <x:c r="F49" s="84"/>
      <x:c r="G49" s="84"/>
      <x:c r="H49" s="84"/>
      <x:c r="I49" s="84" t="str">
        <x:f>IF(COUNTA(D49:H49)=0,"",SUM(D49:H49))</x:f>
      </x:c>
      <x:c r="J49" s="85" t="str">
        <x:f>IF(I49="","",I49/500*100)</x:f>
      </x:c>
      <x:c r="K49" s="83" t="str">
        <x:f>IF(J49="","",IF(J49&gt;=90,"A+",IF(J49&gt;=80,"A",IF(J49&gt;=70,"B",IF(J49&gt;=60,"C",IF(J49&gt;=50,"D","F"))))))</x:f>
      </x:c>
      <x:c r="L49" s="83" t="str">
        <x:f>IF(J49="","",IF(J49&gt;=40,"Pass","Fail"))</x:f>
      </x:c>
      <x:c r="M49" s="83" t="str">
        <x:f>IF(J49="","",IF(J49&gt;=90,"Outstanding",IF(J49&gt;=75,"Very Good",IF(J49&gt;=60,"Good",IF(J49&gt;=40,"Needs Improvement","Reappear / Remedial Support")))))</x:f>
      </x:c>
      <x:c r="N49" s="86"/>
    </x:row>
    <x:row r="50">
      <x:c r="A50" s="83"/>
      <x:c r="B50" s="83"/>
      <x:c r="C50" s="83"/>
      <x:c r="D50" s="84"/>
      <x:c r="E50" s="84"/>
      <x:c r="F50" s="84"/>
      <x:c r="G50" s="84"/>
      <x:c r="H50" s="84"/>
      <x:c r="I50" s="84" t="str">
        <x:f>IF(COUNTA(D50:H50)=0,"",SUM(D50:H50))</x:f>
      </x:c>
      <x:c r="J50" s="85" t="str">
        <x:f>IF(I50="","",I50/500*100)</x:f>
      </x:c>
      <x:c r="K50" s="83" t="str">
        <x:f>IF(J50="","",IF(J50&gt;=90,"A+",IF(J50&gt;=80,"A",IF(J50&gt;=70,"B",IF(J50&gt;=60,"C",IF(J50&gt;=50,"D","F"))))))</x:f>
      </x:c>
      <x:c r="L50" s="83" t="str">
        <x:f>IF(J50="","",IF(J50&gt;=40,"Pass","Fail"))</x:f>
      </x:c>
      <x:c r="M50" s="83" t="str">
        <x:f>IF(J50="","",IF(J50&gt;=90,"Outstanding",IF(J50&gt;=75,"Very Good",IF(J50&gt;=60,"Good",IF(J50&gt;=40,"Needs Improvement","Reappear / Remedial Support")))))</x:f>
      </x:c>
      <x:c r="N50" s="86"/>
    </x:row>
    <x:row r="51">
      <x:c r="A51" s="83"/>
      <x:c r="B51" s="83"/>
      <x:c r="C51" s="83"/>
      <x:c r="D51" s="84"/>
      <x:c r="E51" s="84"/>
      <x:c r="F51" s="84"/>
      <x:c r="G51" s="84"/>
      <x:c r="H51" s="84"/>
      <x:c r="I51" s="84" t="str">
        <x:f>IF(COUNTA(D51:H51)=0,"",SUM(D51:H51))</x:f>
      </x:c>
      <x:c r="J51" s="85" t="str">
        <x:f>IF(I51="","",I51/500*100)</x:f>
      </x:c>
      <x:c r="K51" s="83" t="str">
        <x:f>IF(J51="","",IF(J51&gt;=90,"A+",IF(J51&gt;=80,"A",IF(J51&gt;=70,"B",IF(J51&gt;=60,"C",IF(J51&gt;=50,"D","F"))))))</x:f>
      </x:c>
      <x:c r="L51" s="83" t="str">
        <x:f>IF(J51="","",IF(J51&gt;=40,"Pass","Fail"))</x:f>
      </x:c>
      <x:c r="M51" s="83" t="str">
        <x:f>IF(J51="","",IF(J51&gt;=90,"Outstanding",IF(J51&gt;=75,"Very Good",IF(J51&gt;=60,"Good",IF(J51&gt;=40,"Needs Improvement","Reappear / Remedial Support")))))</x:f>
      </x:c>
      <x:c r="N51" s="86"/>
    </x:row>
    <x:row r="52">
      <x:c r="A52" s="83"/>
      <x:c r="B52" s="83"/>
      <x:c r="C52" s="83"/>
      <x:c r="D52" s="84"/>
      <x:c r="E52" s="84"/>
      <x:c r="F52" s="84"/>
      <x:c r="G52" s="84"/>
      <x:c r="H52" s="84"/>
      <x:c r="I52" s="84" t="str">
        <x:f>IF(COUNTA(D52:H52)=0,"",SUM(D52:H52))</x:f>
      </x:c>
      <x:c r="J52" s="85" t="str">
        <x:f>IF(I52="","",I52/500*100)</x:f>
      </x:c>
      <x:c r="K52" s="83" t="str">
        <x:f>IF(J52="","",IF(J52&gt;=90,"A+",IF(J52&gt;=80,"A",IF(J52&gt;=70,"B",IF(J52&gt;=60,"C",IF(J52&gt;=50,"D","F"))))))</x:f>
      </x:c>
      <x:c r="L52" s="83" t="str">
        <x:f>IF(J52="","",IF(J52&gt;=40,"Pass","Fail"))</x:f>
      </x:c>
      <x:c r="M52" s="83" t="str">
        <x:f>IF(J52="","",IF(J52&gt;=90,"Outstanding",IF(J52&gt;=75,"Very Good",IF(J52&gt;=60,"Good",IF(J52&gt;=40,"Needs Improvement","Reappear / Remedial Support")))))</x:f>
      </x:c>
      <x:c r="N52" s="86"/>
    </x:row>
    <x:row r="53">
      <x:c r="A53" s="83"/>
      <x:c r="B53" s="83"/>
      <x:c r="C53" s="83"/>
      <x:c r="D53" s="84"/>
      <x:c r="E53" s="84"/>
      <x:c r="F53" s="84"/>
      <x:c r="G53" s="84"/>
      <x:c r="H53" s="84"/>
      <x:c r="I53" s="84" t="str">
        <x:f>IF(COUNTA(D53:H53)=0,"",SUM(D53:H53))</x:f>
      </x:c>
      <x:c r="J53" s="85" t="str">
        <x:f>IF(I53="","",I53/500*100)</x:f>
      </x:c>
      <x:c r="K53" s="83" t="str">
        <x:f>IF(J53="","",IF(J53&gt;=90,"A+",IF(J53&gt;=80,"A",IF(J53&gt;=70,"B",IF(J53&gt;=60,"C",IF(J53&gt;=50,"D","F"))))))</x:f>
      </x:c>
      <x:c r="L53" s="83" t="str">
        <x:f>IF(J53="","",IF(J53&gt;=40,"Pass","Fail"))</x:f>
      </x:c>
      <x:c r="M53" s="83" t="str">
        <x:f>IF(J53="","",IF(J53&gt;=90,"Outstanding",IF(J53&gt;=75,"Very Good",IF(J53&gt;=60,"Good",IF(J53&gt;=40,"Needs Improvement","Reappear / Remedial Support")))))</x:f>
      </x:c>
      <x:c r="N53" s="86"/>
    </x:row>
    <x:row r="54">
      <x:c r="A54" s="83"/>
      <x:c r="B54" s="83"/>
      <x:c r="C54" s="83"/>
      <x:c r="D54" s="84"/>
      <x:c r="E54" s="84"/>
      <x:c r="F54" s="84"/>
      <x:c r="G54" s="84"/>
      <x:c r="H54" s="84"/>
      <x:c r="I54" s="84" t="str">
        <x:f>IF(COUNTA(D54:H54)=0,"",SUM(D54:H54))</x:f>
      </x:c>
      <x:c r="J54" s="85" t="str">
        <x:f>IF(I54="","",I54/500*100)</x:f>
      </x:c>
      <x:c r="K54" s="83" t="str">
        <x:f>IF(J54="","",IF(J54&gt;=90,"A+",IF(J54&gt;=80,"A",IF(J54&gt;=70,"B",IF(J54&gt;=60,"C",IF(J54&gt;=50,"D","F"))))))</x:f>
      </x:c>
      <x:c r="L54" s="83" t="str">
        <x:f>IF(J54="","",IF(J54&gt;=40,"Pass","Fail"))</x:f>
      </x:c>
      <x:c r="M54" s="83" t="str">
        <x:f>IF(J54="","",IF(J54&gt;=90,"Outstanding",IF(J54&gt;=75,"Very Good",IF(J54&gt;=60,"Good",IF(J54&gt;=40,"Needs Improvement","Reappear / Remedial Support")))))</x:f>
      </x:c>
      <x:c r="N54" s="86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</x:row>
  </x:sheetData>
  <x:mergeCells>
    <x:mergeCell ref="A1:N1"/>
    <x:mergeCell ref="A2:N2"/>
  </x:mergeCells>
  <x:conditionalFormatting sqref="J5:J54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L5:L54">
    <x:cfRule type="expression" dxfId="0" priority="2">
      <x:formula>L5="Fail"</x:formula>
    </x:cfRule>
    <x:cfRule type="expression" dxfId="1" priority="3">
      <x:formula>L5="Pass"</x:formula>
    </x:cfRule>
  </x:conditionalFormatting>
  <x:dataValidations count="2">
    <x:dataValidation operator="between" showInputMessage="1" showErrorMessage="1" errorTitle="Invalid Marks" error="Please enter marks between 0 and 100." promptTitle="Marks Entry" prompt="Enter marks from 0 to 100 only." sqref="D5:H54">
      <x:formula1>0</x:formula1>
      <x:formula2>100</x:formula2>
    </x:dataValidation>
    <x:dataValidation type="list" sqref="C5:C54">
      <x:formula1>"BCA-1,BCA-2,BCA-3,MCA-1,MCA-2,Other"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201a7d70ec47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80" t="str">
        <x:v>Project Documentation: Student Gradebook Utility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>
      <x:c r="A3" s="69" t="str">
        <x:v>Section</x:v>
      </x:c>
      <x:c r="B3" s="69" t="str">
        <x:v>Details</x:v>
      </x:c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</x:row>
    <x:row r="4">
      <x:c r="A4" s="94" t="str">
        <x:v>Project Aim</x:v>
      </x:c>
      <x:c r="B4" s="94" t="str">
        <x:v>Create a menu-driven student gradebook utility inspired by Microsoft usability standards.</x:v>
      </x:c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</x:row>
    <x:row r="5">
      <x:c r="A5" s="94" t="str">
        <x:v>Core Features</x:v>
      </x:c>
      <x:c r="B5" s="94" t="str">
        <x:v>Add Record, View All Records, Search by Roll Number, Exit.</x:v>
      </x:c>
      <x:c r="C5" s="65"/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5"/>
    </x:row>
    <x:row r="6">
      <x:c r="A6" s="94" t="str">
        <x:v>Input Rules</x:v>
      </x:c>
      <x:c r="B6" s="94" t="str">
        <x:v>Roll number must be unique. Marks should be numeric and between 0 and 100.</x:v>
      </x:c>
      <x:c r="C6" s="65"/>
      <x:c r="D6" s="65"/>
      <x:c r="E6" s="65"/>
      <x:c r="F6" s="65"/>
      <x:c r="G6" s="65"/>
      <x:c r="H6" s="65"/>
      <x:c r="I6" s="65"/>
      <x:c r="J6" s="65"/>
      <x:c r="K6" s="65"/>
      <x:c r="L6" s="65"/>
      <x:c r="M6" s="65"/>
      <x:c r="N6" s="65"/>
    </x:row>
    <x:row r="7">
      <x:c r="A7" s="94" t="str">
        <x:v>Auto Calculations</x:v>
      </x:c>
      <x:c r="B7" s="94" t="str">
        <x:v>Total Marks, Percentage, Grade, Result, and Remarks are formula-based.</x:v>
      </x:c>
      <x:c r="C7" s="65"/>
      <x:c r="D7" s="65"/>
      <x:c r="E7" s="65"/>
      <x:c r="F7" s="65"/>
      <x:c r="G7" s="65"/>
      <x:c r="H7" s="65"/>
      <x:c r="I7" s="65"/>
      <x:c r="J7" s="65"/>
      <x:c r="K7" s="65"/>
      <x:c r="L7" s="65"/>
      <x:c r="M7" s="65"/>
      <x:c r="N7" s="65"/>
    </x:row>
    <x:row r="8">
      <x:c r="A8" s="94" t="str">
        <x:v>Error Message Examples</x:v>
      </x:c>
      <x:c r="B8" s="94" t="str">
        <x:v>Invalid marks: Please enter a value between 0 and 100. Roll not found: No record exists for this roll number.</x:v>
      </x:c>
      <x:c r="C8" s="65"/>
      <x:c r="D8" s="65"/>
      <x:c r="E8" s="65"/>
      <x:c r="F8" s="65"/>
      <x:c r="G8" s="65"/>
      <x:c r="H8" s="65"/>
      <x:c r="I8" s="65"/>
      <x:c r="J8" s="65"/>
      <x:c r="K8" s="65"/>
      <x:c r="L8" s="65"/>
      <x:c r="M8" s="65"/>
      <x:c r="N8" s="65"/>
    </x:row>
    <x:row r="9">
      <x:c r="A9" s="94" t="str">
        <x:v>Microsoft Angle</x:v>
      </x:c>
      <x:c r="B9" s="94" t="str">
        <x:v>Clean interface, helpful prompts, consistent formatting, clear documentation, and user-friendly search.</x:v>
      </x:c>
      <x:c r="C9" s="65"/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</x:row>
    <x:row r="10">
      <x:c r="A10" s="94" t="str">
        <x:v>Suggested Code Flow</x:v>
      </x:c>
      <x:c r="B10" s="94" t="str">
        <x:v>Display menu → accept user choice → validate input → perform action → show summary or error → repeat until Exit.</x:v>
      </x:c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</x:row>
  </x:sheetData>
  <x:mergeCells>
    <x:mergeCell ref="A1:F1"/>
  </x:mergeCells>
  <x:pageMargins left="0.7" right="0.7" top="0.75" bottom="0.75" header="0.3" footer="0.3"/>
</x:worksheet>
</file>